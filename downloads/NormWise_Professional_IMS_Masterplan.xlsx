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" sheetId="1" state="visible" r:id="rId3"/>
    <sheet name="1_Context_EN" sheetId="2" state="visible" r:id="rId4"/>
    <sheet name="2_Stakeholders_EN" sheetId="3" state="visible" r:id="rId5"/>
    <sheet name="3_Risks_EN" sheetId="4" state="visible" r:id="rId6"/>
    <sheet name="4_ActionPlan_EN" sheetId="5" state="visible" r:id="rId7"/>
    <sheet name="1_Context_DE" sheetId="6" state="visible" r:id="rId8"/>
    <sheet name="2_Stakeholders_DE" sheetId="7" state="visible" r:id="rId9"/>
    <sheet name="3_Risks_DE" sheetId="8" state="visible" r:id="rId10"/>
    <sheet name="4_ActionPlan_DE" sheetId="9" state="visible" r:id="rId11"/>
    <sheet name="1_Context_FR" sheetId="10" state="visible" r:id="rId12"/>
    <sheet name="2_Stakeholders_FR" sheetId="11" state="visible" r:id="rId13"/>
    <sheet name="3_Risks_FR" sheetId="12" state="visible" r:id="rId14"/>
    <sheet name="4_ActionPlan_FR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<sst xmlns="http://schemas.openxmlformats.org/spreadsheetml/2006/main" count="1531" uniqueCount="783">
  <si>
    <t xml:space="preserve">NormWise</t>
  </si>
  <si>
    <t xml:space="preserve">Professional IMS Masterplan  ·  ISO 9001 · ISO 14001 · ISO 45001</t>
  </si>
  <si>
    <t xml:space="preserve">HOW TO USE THIS WORKBOOK</t>
  </si>
  <si>
    <t xml:space="preserve">▸  Sheet 1 — Context (EN/DE/FR)</t>
  </si>
  <si>
    <t xml:space="preserve">    List all internal and external issues affecting your IMS (ISO §4.1). Pre-filled with examples — adapt to your organization.</t>
  </si>
  <si>
    <t xml:space="preserve">▸  Sheet 2 — Stakeholders (EN/DE/FR)</t>
  </si>
  <si>
    <t xml:space="preserve">    Identify all interested parties, their needs and your monitoring approach (ISO §4.2). Add or remove rows as needed.</t>
  </si>
  <si>
    <t xml:space="preserve">▸  Sheet 3 — Risks &amp; Opportunities (EN/DE/FR)</t>
  </si>
  <si>
    <t xml:space="preserve">    Complete your risk register. Risk Score = Probability × Impact. Level is calculated automatically. (ISO §6.1)</t>
  </si>
  <si>
    <t xml:space="preserve">▸  Sheet 4 — Action Plan (EN/DE/FR)</t>
  </si>
  <si>
    <t xml:space="preserve">    Your complete ISO implementation roadmap. Update the Status (%) column as actions progress. (ISO §6.2)</t>
  </si>
  <si>
    <t xml:space="preserve">LANGUAGE VERSIONS</t>
  </si>
  <si>
    <t xml:space="preserve">    Each sheet is available in English (_EN), German (_DE) and French (_FR). Use the tab that matches your working language.</t>
  </si>
  <si>
    <t xml:space="preserve">UPDATING</t>
  </si>
  <si>
    <t xml:space="preserve">    All example data is pre-filled to guide you. Replace company-specific details with your own information.</t>
  </si>
  <si>
    <t xml:space="preserve">SUPPORT</t>
  </si>
  <si>
    <t xml:space="preserve">    For ISO compliance questions, use NormWise AI at normwise.cloud — available 24/7 in EN/DE/FR.</t>
  </si>
  <si>
    <t xml:space="preserve">normwise.cloud  ·  hello@normwise.cloud</t>
  </si>
  <si>
    <t xml:space="preserve">    © 2026 NormWise — Professional Plan</t>
  </si>
  <si>
    <t xml:space="preserve">Organizational Context — Internal &amp; External Issues</t>
  </si>
  <si>
    <t xml:space="preserve">NormWise Professional  ·  ISO 9001 §4.1 · ISO 14001 §4.1 · ISO 45001 §4.1  ·  normwise.cloud</t>
  </si>
  <si>
    <t xml:space="preserve">No.</t>
  </si>
  <si>
    <t xml:space="preserve">Category</t>
  </si>
  <si>
    <t xml:space="preserve">Theme / Issue</t>
  </si>
  <si>
    <t xml:space="preserve">Type
(Int./Ext.)</t>
  </si>
  <si>
    <t xml:space="preserve">Impact on QMS / EMS / OH&amp;S</t>
  </si>
  <si>
    <t xml:space="preserve">Standard(s)</t>
  </si>
  <si>
    <t xml:space="preserve">Priority
(H/M/L)</t>
  </si>
  <si>
    <t xml:space="preserve">Review Date</t>
  </si>
  <si>
    <t xml:space="preserve">Owner</t>
  </si>
  <si>
    <t xml:space="preserve">Notes / Actions</t>
  </si>
  <si>
    <t xml:space="preserve">  INTERNAL</t>
  </si>
  <si>
    <t xml:space="preserve">1.1</t>
  </si>
  <si>
    <t xml:space="preserve">Organization &amp; Governance</t>
  </si>
  <si>
    <t xml:space="preserve">Management commitment and leadership style</t>
  </si>
  <si>
    <t xml:space="preserve">Internal</t>
  </si>
  <si>
    <t xml:space="preserve">Affects policy deployment and resource allocation</t>
  </si>
  <si>
    <t xml:space="preserve">9001·14001·45001</t>
  </si>
  <si>
    <t xml:space="preserve">H</t>
  </si>
  <si>
    <t xml:space="preserve">Management</t>
  </si>
  <si>
    <t xml:space="preserve">1.2</t>
  </si>
  <si>
    <t xml:space="preserve">Organizational structure and responsibilities</t>
  </si>
  <si>
    <t xml:space="preserve">Defines accountability in the IMS</t>
  </si>
  <si>
    <t xml:space="preserve">M</t>
  </si>
  <si>
    <t xml:space="preserve">QM Manager</t>
  </si>
  <si>
    <t xml:space="preserve">1.3</t>
  </si>
  <si>
    <t xml:space="preserve">Processes &amp; Operations</t>
  </si>
  <si>
    <t xml:space="preserve">Core business processes and their interactions</t>
  </si>
  <si>
    <t xml:space="preserve">Basis for process approach and continual improvement</t>
  </si>
  <si>
    <t xml:space="preserve">9001·14001</t>
  </si>
  <si>
    <t xml:space="preserve">Process Owner</t>
  </si>
  <si>
    <t xml:space="preserve">1.4</t>
  </si>
  <si>
    <t xml:space="preserve">Occupational health &amp; safety practices</t>
  </si>
  <si>
    <t xml:space="preserve">Hazard identification and risk control</t>
  </si>
  <si>
    <t xml:space="preserve">45001</t>
  </si>
  <si>
    <t xml:space="preserve">HSE Manager</t>
  </si>
  <si>
    <t xml:space="preserve">1.5</t>
  </si>
  <si>
    <t xml:space="preserve">Resources &amp; Infrastructure</t>
  </si>
  <si>
    <t xml:space="preserve">Competence, training and awareness levels</t>
  </si>
  <si>
    <t xml:space="preserve">Quality of output and legal compliance</t>
  </si>
  <si>
    <t xml:space="preserve">HR Manager</t>
  </si>
  <si>
    <t xml:space="preserve">1.6</t>
  </si>
  <si>
    <t xml:space="preserve">Equipment, facilities and technology</t>
  </si>
  <si>
    <t xml:space="preserve">Process reliability and environmental footprint</t>
  </si>
  <si>
    <t xml:space="preserve">Operations</t>
  </si>
  <si>
    <t xml:space="preserve">1.7</t>
  </si>
  <si>
    <t xml:space="preserve">Culture &amp; Values</t>
  </si>
  <si>
    <t xml:space="preserve">Quality and sustainability culture</t>
  </si>
  <si>
    <t xml:space="preserve">Employee engagement and policy adherence</t>
  </si>
  <si>
    <t xml:space="preserve">  EXTERNAL</t>
  </si>
  <si>
    <t xml:space="preserve">2.1</t>
  </si>
  <si>
    <t xml:space="preserve">Legal &amp; Regulatory</t>
  </si>
  <si>
    <t xml:space="preserve">ISO standard requirements (9001/14001/45001)</t>
  </si>
  <si>
    <t xml:space="preserve">External</t>
  </si>
  <si>
    <t xml:space="preserve">Mandatory compliance — audit basis</t>
  </si>
  <si>
    <t xml:space="preserve">2.2</t>
  </si>
  <si>
    <t xml:space="preserve">National/EU environmental and safety legislation</t>
  </si>
  <si>
    <t xml:space="preserve">Legal compliance — risk of penalties</t>
  </si>
  <si>
    <t xml:space="preserve">14001·45001</t>
  </si>
  <si>
    <t xml:space="preserve">Legal / HSE</t>
  </si>
  <si>
    <t xml:space="preserve">2.3</t>
  </si>
  <si>
    <t xml:space="preserve">Market &amp; Competition</t>
  </si>
  <si>
    <t xml:space="preserve">Customer expectations and market trends</t>
  </si>
  <si>
    <t xml:space="preserve">Customer satisfaction and retention</t>
  </si>
  <si>
    <t xml:space="preserve">9001</t>
  </si>
  <si>
    <t xml:space="preserve">Sales Manager</t>
  </si>
  <si>
    <t xml:space="preserve">2.4</t>
  </si>
  <si>
    <t xml:space="preserve">Competitive landscape and industry benchmarks</t>
  </si>
  <si>
    <t xml:space="preserve">Strategic positioning and continual improvement</t>
  </si>
  <si>
    <t xml:space="preserve">2.5</t>
  </si>
  <si>
    <t xml:space="preserve">Economic &amp; Social</t>
  </si>
  <si>
    <t xml:space="preserve">Economic conditions and supply chain stability</t>
  </si>
  <si>
    <t xml:space="preserve">Resource availability and cost control</t>
  </si>
  <si>
    <t xml:space="preserve">Procurement</t>
  </si>
  <si>
    <t xml:space="preserve">2.6</t>
  </si>
  <si>
    <t xml:space="preserve">ESG / sustainability reporting requirements (CSRD)</t>
  </si>
  <si>
    <t xml:space="preserve">Environmental and social performance metrics</t>
  </si>
  <si>
    <t xml:space="preserve">14001</t>
  </si>
  <si>
    <t xml:space="preserve">2.7</t>
  </si>
  <si>
    <t xml:space="preserve">Technology &amp; Innovation</t>
  </si>
  <si>
    <t xml:space="preserve">Digitalization and AI in compliance management</t>
  </si>
  <si>
    <t xml:space="preserve">Process efficiency and audit readiness</t>
  </si>
  <si>
    <t xml:space="preserve">L</t>
  </si>
  <si>
    <t xml:space="preserve">IT Manager</t>
  </si>
  <si>
    <t xml:space="preserve">Interested Parties — Needs &amp; Expectations</t>
  </si>
  <si>
    <t xml:space="preserve">NormWise Professional  ·  ISO 9001 §4.2 · ISO 14001 §4.2 · ISO 45001 §4.2  ·  normwise.cloud</t>
  </si>
  <si>
    <t xml:space="preserve">Stakeholder Group</t>
  </si>
  <si>
    <t xml:space="preserve">Specific Party</t>
  </si>
  <si>
    <t xml:space="preserve">Needs &amp; Expectations</t>
  </si>
  <si>
    <t xml:space="preserve">Relevant Standard(s)</t>
  </si>
  <si>
    <t xml:space="preserve">Influence
(H/M/L)</t>
  </si>
  <si>
    <t xml:space="preserve">Interest
(H/M/L)</t>
  </si>
  <si>
    <t xml:space="preserve">Monitoring Method</t>
  </si>
  <si>
    <t xml:space="preserve">Review Frequency</t>
  </si>
  <si>
    <t xml:space="preserve">1</t>
  </si>
  <si>
    <t xml:space="preserve">Customers / Clients</t>
  </si>
  <si>
    <t xml:space="preserve">End customers, B2B clients</t>
  </si>
  <si>
    <t xml:space="preserve">Product/service quality, on-time delivery, consistent performance, complaint handling</t>
  </si>
  <si>
    <t xml:space="preserve">Customer surveys, KPIs, complaints log</t>
  </si>
  <si>
    <t xml:space="preserve">Quarterly</t>
  </si>
  <si>
    <t xml:space="preserve">2</t>
  </si>
  <si>
    <t xml:space="preserve">Employees</t>
  </si>
  <si>
    <t xml:space="preserve">All staff, temporary workers</t>
  </si>
  <si>
    <t xml:space="preserve">Safe working environment, fair pay, career development, clear communication</t>
  </si>
  <si>
    <t xml:space="preserve">9001·45001</t>
  </si>
  <si>
    <t xml:space="preserve">Employee surveys, safety reports, HR KPIs</t>
  </si>
  <si>
    <t xml:space="preserve">Annual</t>
  </si>
  <si>
    <t xml:space="preserve">3</t>
  </si>
  <si>
    <t xml:space="preserve">Management / Owners</t>
  </si>
  <si>
    <t xml:space="preserve">Board, shareholders</t>
  </si>
  <si>
    <t xml:space="preserve">Profitability, legal compliance, strategic growth, IMS effectiveness</t>
  </si>
  <si>
    <t xml:space="preserve">Management review, financial reports</t>
  </si>
  <si>
    <t xml:space="preserve">CEO</t>
  </si>
  <si>
    <t xml:space="preserve">4</t>
  </si>
  <si>
    <t xml:space="preserve">Regulatory Authorities</t>
  </si>
  <si>
    <t xml:space="preserve">ISO certification body, government agencies</t>
  </si>
  <si>
    <t xml:space="preserve">Full standard compliance, documented evidence, corrective actions</t>
  </si>
  <si>
    <t xml:space="preserve">Internal audits, certification audits</t>
  </si>
  <si>
    <t xml:space="preserve">5</t>
  </si>
  <si>
    <t xml:space="preserve">Suppliers / Partners</t>
  </si>
  <si>
    <t xml:space="preserve">Raw material suppliers, subcontractors</t>
  </si>
  <si>
    <t xml:space="preserve">Clear specifications, fair payment terms, long-term partnership</t>
  </si>
  <si>
    <t xml:space="preserve">Supplier evaluations, audits</t>
  </si>
  <si>
    <t xml:space="preserve">6</t>
  </si>
  <si>
    <t xml:space="preserve">Local Community</t>
  </si>
  <si>
    <t xml:space="preserve">Residents, NGOs, media</t>
  </si>
  <si>
    <t xml:space="preserve">Environmental protection, noise/emission control, social responsibility</t>
  </si>
  <si>
    <t xml:space="preserve">Community feedback, environmental monitoring</t>
  </si>
  <si>
    <t xml:space="preserve">7</t>
  </si>
  <si>
    <t xml:space="preserve">Environment</t>
  </si>
  <si>
    <t xml:space="preserve">Ecosystems, future generations</t>
  </si>
  <si>
    <t xml:space="preserve">Reduced emissions, waste minimization, resource efficiency</t>
  </si>
  <si>
    <t xml:space="preserve">Environmental KPIs, legal monitoring</t>
  </si>
  <si>
    <t xml:space="preserve">8</t>
  </si>
  <si>
    <t xml:space="preserve">Insurance / Banks</t>
  </si>
  <si>
    <t xml:space="preserve">Insurers, financial institutions</t>
  </si>
  <si>
    <t xml:space="preserve">Risk management evidence, financial stability, compliance records</t>
  </si>
  <si>
    <t xml:space="preserve">Risk register, financial reports</t>
  </si>
  <si>
    <t xml:space="preserve">CFO</t>
  </si>
  <si>
    <t xml:space="preserve">Risk &amp; Opportunity Register</t>
  </si>
  <si>
    <t xml:space="preserve">NormWise Professional  ·  ISO 9001 §6.1 · ISO 14001 §6.1 · ISO 45001 §6.1  ·  normwise.cloud</t>
  </si>
  <si>
    <t xml:space="preserve">  Score: 1-8 = LOW (green)   9-15 = MEDIUM (amber)   16-25 = HIGH (red)   |   R = Risk   O = Opportunity</t>
  </si>
  <si>
    <t xml:space="preserve">Risk / Opportunity Description</t>
  </si>
  <si>
    <t xml:space="preserve">Type
(R/O)</t>
  </si>
  <si>
    <t xml:space="preserve">Probability
(1-5)</t>
  </si>
  <si>
    <t xml:space="preserve">Impact
(1-5)</t>
  </si>
  <si>
    <t xml:space="preserve">Risk Score
(P×I)</t>
  </si>
  <si>
    <t xml:space="preserve">Level
(H/M/L)</t>
  </si>
  <si>
    <t xml:space="preserve">Planned Actions</t>
  </si>
  <si>
    <t xml:space="preserve">Deadline</t>
  </si>
  <si>
    <t xml:space="preserve">Effectiveness
Checked</t>
  </si>
  <si>
    <t xml:space="preserve">R-01</t>
  </si>
  <si>
    <t xml:space="preserve">Quality</t>
  </si>
  <si>
    <t xml:space="preserve">Nonconformities not detected before delivery</t>
  </si>
  <si>
    <t xml:space="preserve">R</t>
  </si>
  <si>
    <t xml:space="preserve">Strengthen final inspection process; update control plan</t>
  </si>
  <si>
    <t xml:space="preserve">Q2 2026</t>
  </si>
  <si>
    <t xml:space="preserve">R-02</t>
  </si>
  <si>
    <t xml:space="preserve">Supplier delivers non-conforming materials</t>
  </si>
  <si>
    <t xml:space="preserve">Supplier qualification and incoming inspection</t>
  </si>
  <si>
    <t xml:space="preserve">R-03</t>
  </si>
  <si>
    <t xml:space="preserve">Accidental chemical spill causing soil/water contamination</t>
  </si>
  <si>
    <t xml:space="preserve">Emergency response plan; secondary containment; staff training</t>
  </si>
  <si>
    <t xml:space="preserve">Q1 2026</t>
  </si>
  <si>
    <t xml:space="preserve">R-04</t>
  </si>
  <si>
    <t xml:space="preserve">Exceeding permitted emission limits</t>
  </si>
  <si>
    <t xml:space="preserve">Regular monitoring; maintenance schedule for emission sources</t>
  </si>
  <si>
    <t xml:space="preserve">Ongoing</t>
  </si>
  <si>
    <t xml:space="preserve">R-05</t>
  </si>
  <si>
    <t xml:space="preserve">OH&amp;S</t>
  </si>
  <si>
    <t xml:space="preserve">Workplace accident due to inadequate safety measures</t>
  </si>
  <si>
    <t xml:space="preserve">Risk assessment update; safety training; PPE provision</t>
  </si>
  <si>
    <t xml:space="preserve">R-06</t>
  </si>
  <si>
    <t xml:space="preserve">Psychosocial risks — stress, burnout among employees</t>
  </si>
  <si>
    <t xml:space="preserve">Workload monitoring; mental health support program</t>
  </si>
  <si>
    <t xml:space="preserve">R-07</t>
  </si>
  <si>
    <t xml:space="preserve">Legal</t>
  </si>
  <si>
    <t xml:space="preserve">Failure to comply with new ISO 9001/14001 2026 revision</t>
  </si>
  <si>
    <t xml:space="preserve">Gap analysis against new requirements; transition plan by Q3 2026</t>
  </si>
  <si>
    <t xml:space="preserve">Q3 2026</t>
  </si>
  <si>
    <t xml:space="preserve">R-08</t>
  </si>
  <si>
    <t xml:space="preserve">Operational</t>
  </si>
  <si>
    <t xml:space="preserve">Key personnel departure causing knowledge loss</t>
  </si>
  <si>
    <t xml:space="preserve">Knowledge management system; succession planning</t>
  </si>
  <si>
    <t xml:space="preserve">O-01</t>
  </si>
  <si>
    <t xml:space="preserve">ISO 9001 certification opens new B2B market segments</t>
  </si>
  <si>
    <t xml:space="preserve">O</t>
  </si>
  <si>
    <t xml:space="preserve">Develop targeted sales strategy for certified markets</t>
  </si>
  <si>
    <t xml:space="preserve">O-02</t>
  </si>
  <si>
    <t xml:space="preserve">CSRD compliance positions company as ESG leader</t>
  </si>
  <si>
    <t xml:space="preserve">Integrate CSRD reporting with ISO 14001 objectives</t>
  </si>
  <si>
    <t xml:space="preserve">Q4 2026</t>
  </si>
  <si>
    <t xml:space="preserve">O-03</t>
  </si>
  <si>
    <t xml:space="preserve">Reduced accidents leads to lower insurance premiums</t>
  </si>
  <si>
    <t xml:space="preserve">Document safety improvements; negotiate with insurer</t>
  </si>
  <si>
    <t xml:space="preserve">CFO / HSE</t>
  </si>
  <si>
    <t xml:space="preserve">O-04</t>
  </si>
  <si>
    <t xml:space="preserve">Innovation</t>
  </si>
  <si>
    <t xml:space="preserve">AI-powered compliance tools reduce audit preparation time</t>
  </si>
  <si>
    <t xml:space="preserve">Implement NormWise AI platform for ongoing compliance</t>
  </si>
  <si>
    <t xml:space="preserve">ISO Action Plan — Objectives &amp; Measures</t>
  </si>
  <si>
    <t xml:space="preserve">NormWise Professional  ·  ISO 9001 §6.2 · ISO 14001 §6.2 · ISO 45001 §6.2  ·  normwise.cloud</t>
  </si>
  <si>
    <t xml:space="preserve">ISO Clause</t>
  </si>
  <si>
    <t xml:space="preserve">Objective</t>
  </si>
  <si>
    <t xml:space="preserve">Standard</t>
  </si>
  <si>
    <t xml:space="preserve">Measure / Action</t>
  </si>
  <si>
    <t xml:space="preserve">Resources
Needed</t>
  </si>
  <si>
    <t xml:space="preserve">Start
Date</t>
  </si>
  <si>
    <t xml:space="preserve">Target
Date</t>
  </si>
  <si>
    <t xml:space="preserve">Status
(%)</t>
  </si>
  <si>
    <t xml:space="preserve">KPI / Evidence</t>
  </si>
  <si>
    <t xml:space="preserve">Verified
By</t>
  </si>
  <si>
    <t xml:space="preserve">§4.1 / §4.2</t>
  </si>
  <si>
    <t xml:space="preserve">Complete organizational context and stakeholder analysis</t>
  </si>
  <si>
    <t xml:space="preserve">Fill in Context and Stakeholder sheets in this workbook</t>
  </si>
  <si>
    <t xml:space="preserve">2h management workshop</t>
  </si>
  <si>
    <t xml:space="preserve">Jan 2026</t>
  </si>
  <si>
    <t xml:space="preserve">Feb 2026</t>
  </si>
  <si>
    <t xml:space="preserve">Completed context register</t>
  </si>
  <si>
    <t xml:space="preserve">§5.1</t>
  </si>
  <si>
    <t xml:space="preserve">Demonstrate top management leadership and commitment</t>
  </si>
  <si>
    <t xml:space="preserve">Conduct formal management review meeting; document outcomes</t>
  </si>
  <si>
    <t xml:space="preserve">Meeting room; 4h</t>
  </si>
  <si>
    <t xml:space="preserve">Mar 2026</t>
  </si>
  <si>
    <t xml:space="preserve">Management review minutes</t>
  </si>
  <si>
    <t xml:space="preserve">§5.2</t>
  </si>
  <si>
    <t xml:space="preserve">Establish and communicate quality/environmental/safety policy</t>
  </si>
  <si>
    <t xml:space="preserve">Draft IMS policy; get approval; distribute to all staff</t>
  </si>
  <si>
    <t xml:space="preserve">1 day drafting</t>
  </si>
  <si>
    <t xml:space="preserve">Signed policy document</t>
  </si>
  <si>
    <t xml:space="preserve">§6.1</t>
  </si>
  <si>
    <t xml:space="preserve">Conduct comprehensive risk &amp; opportunity assessment</t>
  </si>
  <si>
    <t xml:space="preserve">Complete Risk Register in this workbook; review quarterly</t>
  </si>
  <si>
    <t xml:space="preserve">4h workshop</t>
  </si>
  <si>
    <t xml:space="preserve">Completed risk register</t>
  </si>
  <si>
    <t xml:space="preserve">§6.2</t>
  </si>
  <si>
    <t xml:space="preserve">Set measurable quality, environmental and safety objectives</t>
  </si>
  <si>
    <t xml:space="preserve">Define SMART objectives; link to KPIs; monitor monthly</t>
  </si>
  <si>
    <t xml:space="preserve">Management input</t>
  </si>
  <si>
    <t xml:space="preserve">Objectives dashboard; monthly reports</t>
  </si>
  <si>
    <t xml:space="preserve">§7.1</t>
  </si>
  <si>
    <t xml:space="preserve">Ensure adequate resources for IMS implementation</t>
  </si>
  <si>
    <t xml:space="preserve">Budget allocation; competence matrix; infrastructure audit</t>
  </si>
  <si>
    <t xml:space="preserve">Budget approval</t>
  </si>
  <si>
    <t xml:space="preserve">CFO / Management</t>
  </si>
  <si>
    <t xml:space="preserve">Apr 2026</t>
  </si>
  <si>
    <t xml:space="preserve">Budget plan; resource matrix</t>
  </si>
  <si>
    <t xml:space="preserve">§7.2</t>
  </si>
  <si>
    <t xml:space="preserve">Assess and improve competence of all relevant personnel</t>
  </si>
  <si>
    <t xml:space="preserve">Conduct skills gap analysis; create training plan</t>
  </si>
  <si>
    <t xml:space="preserve">HR department; training budget</t>
  </si>
  <si>
    <t xml:space="preserve">May 2026</t>
  </si>
  <si>
    <t xml:space="preserve">Training records; competence matrix</t>
  </si>
  <si>
    <t xml:space="preserve">§7.4</t>
  </si>
  <si>
    <t xml:space="preserve">Implement structured internal and external communication plan</t>
  </si>
  <si>
    <t xml:space="preserve">Define what, when, to whom, and how to communicate IMS topics</t>
  </si>
  <si>
    <t xml:space="preserve">Communication templates</t>
  </si>
  <si>
    <t xml:space="preserve">Communication plan document</t>
  </si>
  <si>
    <t xml:space="preserve">9</t>
  </si>
  <si>
    <t xml:space="preserve">§7.5</t>
  </si>
  <si>
    <t xml:space="preserve">Establish document and record control system</t>
  </si>
  <si>
    <t xml:space="preserve">Set up document register; define retention periods; train staff</t>
  </si>
  <si>
    <t xml:space="preserve">Document management system</t>
  </si>
  <si>
    <t xml:space="preserve">Document register; version-controlled docs</t>
  </si>
  <si>
    <t xml:space="preserve">10</t>
  </si>
  <si>
    <t xml:space="preserve">§8.1</t>
  </si>
  <si>
    <t xml:space="preserve">Plan and control all operational processes</t>
  </si>
  <si>
    <t xml:space="preserve">Map and document core processes; define process controls</t>
  </si>
  <si>
    <t xml:space="preserve">Process mapping workshop</t>
  </si>
  <si>
    <t xml:space="preserve">Jun 2026</t>
  </si>
  <si>
    <t xml:space="preserve">Process maps; control procedures</t>
  </si>
  <si>
    <t xml:space="preserve">11</t>
  </si>
  <si>
    <t xml:space="preserve">Implement operational controls for OH&amp;S hazards</t>
  </si>
  <si>
    <t xml:space="preserve">Hierarchy of controls; safe work procedures; PPE matrix</t>
  </si>
  <si>
    <t xml:space="preserve">HSE budget; PPE supplies</t>
  </si>
  <si>
    <t xml:space="preserve">Safe work procedures; PPE records</t>
  </si>
  <si>
    <t xml:space="preserve">12</t>
  </si>
  <si>
    <t xml:space="preserve">§9.1</t>
  </si>
  <si>
    <t xml:space="preserve">Implement performance monitoring and measurement system</t>
  </si>
  <si>
    <t xml:space="preserve">Define KPIs; set up monitoring schedule; monthly reporting</t>
  </si>
  <si>
    <t xml:space="preserve">Data collection tools</t>
  </si>
  <si>
    <t xml:space="preserve">KPI dashboard; monthly reports</t>
  </si>
  <si>
    <t xml:space="preserve">13</t>
  </si>
  <si>
    <t xml:space="preserve">§9.2</t>
  </si>
  <si>
    <t xml:space="preserve">Conduct internal audits across all IMS elements</t>
  </si>
  <si>
    <t xml:space="preserve">Develop audit program; train internal auditors; execute audits</t>
  </si>
  <si>
    <t xml:space="preserve">Audit training; 2 days/audit</t>
  </si>
  <si>
    <t xml:space="preserve">Lead Auditor</t>
  </si>
  <si>
    <t xml:space="preserve">Jul 2026</t>
  </si>
  <si>
    <t xml:space="preserve">Audit reports; nonconformity register</t>
  </si>
  <si>
    <t xml:space="preserve">14</t>
  </si>
  <si>
    <t xml:space="preserve">§9.3</t>
  </si>
  <si>
    <t xml:space="preserve">Conduct annual management review</t>
  </si>
  <si>
    <t xml:space="preserve">Prepare management review agenda and input data; hold meeting</t>
  </si>
  <si>
    <t xml:space="preserve">1 day executive time</t>
  </si>
  <si>
    <t xml:space="preserve">Nov 2026</t>
  </si>
  <si>
    <t xml:space="preserve">Dec 2026</t>
  </si>
  <si>
    <t xml:space="preserve">15</t>
  </si>
  <si>
    <t xml:space="preserve">§10.2</t>
  </si>
  <si>
    <t xml:space="preserve">Implement corrective action process for nonconformities</t>
  </si>
  <si>
    <t xml:space="preserve">Define CA process; root cause analysis; effectiveness verification</t>
  </si>
  <si>
    <t xml:space="preserve">CA tracking system</t>
  </si>
  <si>
    <t xml:space="preserve">CA register; closed CARs</t>
  </si>
  <si>
    <t xml:space="preserve">16</t>
  </si>
  <si>
    <t xml:space="preserve">§10.3</t>
  </si>
  <si>
    <t xml:space="preserve">Drive continual improvement across all IMS areas</t>
  </si>
  <si>
    <t xml:space="preserve">Regular improvement reviews; NormWise AI for ongoing compliance questions</t>
  </si>
  <si>
    <t xml:space="preserve">NormWise subscription</t>
  </si>
  <si>
    <t xml:space="preserve">Improvement log; audit trend analysis</t>
  </si>
  <si>
    <t xml:space="preserve">Organisatorischer Kontext — Interne &amp; Externe Themen</t>
  </si>
  <si>
    <t xml:space="preserve">Nr.</t>
  </si>
  <si>
    <t xml:space="preserve">Kategorie</t>
  </si>
  <si>
    <t xml:space="preserve">Thema / Sachverhalt</t>
  </si>
  <si>
    <t xml:space="preserve">Typ
(Int./Ext.)</t>
  </si>
  <si>
    <t xml:space="preserve">Auswirkung auf QMS / UMS / AMS</t>
  </si>
  <si>
    <t xml:space="preserve">Norm(en)</t>
  </si>
  <si>
    <t xml:space="preserve">Priorität
(H/M/L)</t>
  </si>
  <si>
    <t xml:space="preserve">Überprüfungsdatum</t>
  </si>
  <si>
    <t xml:space="preserve">Verantwortlich</t>
  </si>
  <si>
    <t xml:space="preserve">Notizen / Maßnahmen</t>
  </si>
  <si>
    <t xml:space="preserve">  INTERN</t>
  </si>
  <si>
    <t xml:space="preserve">Organisation &amp; Führung</t>
  </si>
  <si>
    <t xml:space="preserve">Managementverpflichtung und Führungsstil</t>
  </si>
  <si>
    <t xml:space="preserve">Intern</t>
  </si>
  <si>
    <t xml:space="preserve">Beeinflusst Richtlinienentwicklung und Ressourcenzuweisung</t>
  </si>
  <si>
    <t xml:space="preserve">Geschäftsführung</t>
  </si>
  <si>
    <t xml:space="preserve">Organisationsstruktur und Verantwortlichkeiten</t>
  </si>
  <si>
    <t xml:space="preserve">Definiert Rechenschaftspflichten im IMS</t>
  </si>
  <si>
    <t xml:space="preserve">QM-Beauftragter</t>
  </si>
  <si>
    <t xml:space="preserve">Prozesse &amp; Betrieb</t>
  </si>
  <si>
    <t xml:space="preserve">Kerngeschäftsprozesse und deren Wechselwirkungen</t>
  </si>
  <si>
    <t xml:space="preserve">Grundlage für prozessorientiertes Vorgehen</t>
  </si>
  <si>
    <t xml:space="preserve">Prozessverantwortlicher</t>
  </si>
  <si>
    <t xml:space="preserve">Arbeitsschutz- und Sicherheitspraktiken</t>
  </si>
  <si>
    <t xml:space="preserve">Gefährdungsermittlung und Risikokontrolle</t>
  </si>
  <si>
    <t xml:space="preserve">HSE-Manager</t>
  </si>
  <si>
    <t xml:space="preserve">Ressourcen &amp; Infrastruktur</t>
  </si>
  <si>
    <t xml:space="preserve">Kompetenz, Schulung und Bewusstsein</t>
  </si>
  <si>
    <t xml:space="preserve">Qualität der Ergebnisse und gesetzliche Konformität</t>
  </si>
  <si>
    <t xml:space="preserve">Personalleitung</t>
  </si>
  <si>
    <t xml:space="preserve">Ausrüstung, Einrichtungen und Technologie</t>
  </si>
  <si>
    <t xml:space="preserve">Prozesszuverlässigkeit und Umweltauswirkungen</t>
  </si>
  <si>
    <t xml:space="preserve">Betrieb</t>
  </si>
  <si>
    <t xml:space="preserve">Kultur &amp; Werte</t>
  </si>
  <si>
    <t xml:space="preserve">Qualitäts- und Nachhaltigkeitskultur</t>
  </si>
  <si>
    <t xml:space="preserve">Mitarbeiterengagement und Richtlinientreue</t>
  </si>
  <si>
    <t xml:space="preserve">  EXTERN</t>
  </si>
  <si>
    <t xml:space="preserve">Recht &amp; Regulierung</t>
  </si>
  <si>
    <t xml:space="preserve">ISO-Normanforderungen (9001/14001/45001)</t>
  </si>
  <si>
    <t xml:space="preserve">Extern</t>
  </si>
  <si>
    <t xml:space="preserve">Zwingende Konformität — Auditgrundlage</t>
  </si>
  <si>
    <t xml:space="preserve">Nationale/EU-Umwelt- und Sicherheitsgesetzgebung</t>
  </si>
  <si>
    <t xml:space="preserve">Gesetzliche Konformität — Risiko von Sanktionen</t>
  </si>
  <si>
    <t xml:space="preserve">Recht / HSE</t>
  </si>
  <si>
    <t xml:space="preserve">Markt &amp; Wettbewerb</t>
  </si>
  <si>
    <t xml:space="preserve">Kundenerwartungen und Markttrends</t>
  </si>
  <si>
    <t xml:space="preserve">Kundenzufriedenheit und -bindung</t>
  </si>
  <si>
    <t xml:space="preserve">Vertriebsleitung</t>
  </si>
  <si>
    <t xml:space="preserve">Wettbewerbsumfeld und Branchenbenchmarks</t>
  </si>
  <si>
    <t xml:space="preserve">Strategische Positionierung und Verbesserung</t>
  </si>
  <si>
    <t xml:space="preserve">Wirtschaft &amp; Gesellschaft</t>
  </si>
  <si>
    <t xml:space="preserve">Wirtschaftslage und Lieferkettenstabilität</t>
  </si>
  <si>
    <t xml:space="preserve">Ressourcenverfügbarkeit und Kostenkontrolle</t>
  </si>
  <si>
    <t xml:space="preserve">Einkauf</t>
  </si>
  <si>
    <t xml:space="preserve">ESG / Nachhaltigkeitsberichterstattung (CSRD)</t>
  </si>
  <si>
    <t xml:space="preserve">Umwelt- und Sozialkennzahlen</t>
  </si>
  <si>
    <t xml:space="preserve">Technologie &amp; Innovation</t>
  </si>
  <si>
    <t xml:space="preserve">Digitalisierung und KI im Compliance-Management</t>
  </si>
  <si>
    <t xml:space="preserve">Prozesseffizienz und Auditbereitschaft</t>
  </si>
  <si>
    <t xml:space="preserve">IT-Leitung</t>
  </si>
  <si>
    <t xml:space="preserve">Interessierte Parteien — Erfordernisse &amp; Erwartungen</t>
  </si>
  <si>
    <t xml:space="preserve">Interessengruppe</t>
  </si>
  <si>
    <t xml:space="preserve">Spezifische Partei</t>
  </si>
  <si>
    <t xml:space="preserve">Erfordernisse &amp; Erwartungen</t>
  </si>
  <si>
    <t xml:space="preserve">Relevante Norm(en)</t>
  </si>
  <si>
    <t xml:space="preserve">Einfluss
(H/M/L)</t>
  </si>
  <si>
    <t xml:space="preserve">Interesse
(H/M/L)</t>
  </si>
  <si>
    <t xml:space="preserve">Überwachungsmethode</t>
  </si>
  <si>
    <t xml:space="preserve">Überprüfungsfrequenz</t>
  </si>
  <si>
    <t xml:space="preserve">Kunden / Auftraggeber</t>
  </si>
  <si>
    <t xml:space="preserve">Endkunden, B2B-Kunden</t>
  </si>
  <si>
    <t xml:space="preserve">Produkt-/Dienstleistungsqualität, pünktliche Lieferung, konstante Leistung, Reklamationsbearbeitung</t>
  </si>
  <si>
    <t xml:space="preserve">Kundenbefragungen, KPIs, Reklamationsprotokoll</t>
  </si>
  <si>
    <t xml:space="preserve">Quartalsweise</t>
  </si>
  <si>
    <t xml:space="preserve">Mitarbeitende</t>
  </si>
  <si>
    <t xml:space="preserve">Alle Beschäftigten, Zeitarbeitskräfte</t>
  </si>
  <si>
    <t xml:space="preserve">Sichere Arbeitsumgebung, faire Vergütung, Karriereentwicklung, klare Kommunikation</t>
  </si>
  <si>
    <t xml:space="preserve">Mitarbeiterbefragungen, Sicherheitsberichte, HR-KPIs</t>
  </si>
  <si>
    <t xml:space="preserve">Jährlich</t>
  </si>
  <si>
    <t xml:space="preserve">Management / Eigentümer</t>
  </si>
  <si>
    <t xml:space="preserve">Vorstand, Gesellschafter</t>
  </si>
  <si>
    <t xml:space="preserve">Rentabilität, gesetzliche Konformität, strategisches Wachstum, IMS-Wirksamkeit</t>
  </si>
  <si>
    <t xml:space="preserve">Managementbewertung, Finanzberichte</t>
  </si>
  <si>
    <t xml:space="preserve">Behörden / Zertifizierungsstellen</t>
  </si>
  <si>
    <t xml:space="preserve">ISO-Zertifizierungsstelle, Behörden</t>
  </si>
  <si>
    <t xml:space="preserve">Vollständige Normkonformität, dokumentierte Nachweise, Korrekturmaßnahmen</t>
  </si>
  <si>
    <t xml:space="preserve">Interne Audits, Zertifizierungsaudits</t>
  </si>
  <si>
    <t xml:space="preserve">Lieferanten / Partner</t>
  </si>
  <si>
    <t xml:space="preserve">Rohstofflieferanten, Subunternehmer</t>
  </si>
  <si>
    <t xml:space="preserve">Klare Spezifikationen, faire Zahlungsbedingungen, langfristige Partnerschaft</t>
  </si>
  <si>
    <t xml:space="preserve">Lieferantenbewertungen, Audits</t>
  </si>
  <si>
    <t xml:space="preserve">Lokale Gemeinschaft</t>
  </si>
  <si>
    <t xml:space="preserve">Anwohner, NGOs, Medien</t>
  </si>
  <si>
    <t xml:space="preserve">Umweltschutz, Lärm-/Emissionskontrolle, soziale Verantwortung</t>
  </si>
  <si>
    <t xml:space="preserve">Gemeinschaftsfeedback, Umweltmonitoring</t>
  </si>
  <si>
    <t xml:space="preserve">Umwelt</t>
  </si>
  <si>
    <t xml:space="preserve">Ökosysteme, künftige Generationen</t>
  </si>
  <si>
    <t xml:space="preserve">Emissionsreduzierung, Abfallminimierung, Ressourceneffizienz</t>
  </si>
  <si>
    <t xml:space="preserve">Umweltkennzahlen, gesetzliches Monitoring</t>
  </si>
  <si>
    <t xml:space="preserve">Versicherungen / Banken</t>
  </si>
  <si>
    <t xml:space="preserve">Versicherer, Kreditinstitute</t>
  </si>
  <si>
    <t xml:space="preserve">Nachweise zum Risikomanagement, finanzielle Stabilität, Compliance-Unterlagen</t>
  </si>
  <si>
    <t xml:space="preserve">Risikoregister, Finanzberichte</t>
  </si>
  <si>
    <t xml:space="preserve">Finanzleitung</t>
  </si>
  <si>
    <t xml:space="preserve">Risiko- &amp; Chancenregister</t>
  </si>
  <si>
    <t xml:space="preserve">  Risikozahl: 1-8 = NIEDRIG (grün)   9-15 = MITTEL (gelb)   16-25 = HOCH (rot)   |   R = Risiko   C = Chance</t>
  </si>
  <si>
    <t xml:space="preserve">Risiko- / Chancenbeschreibung</t>
  </si>
  <si>
    <t xml:space="preserve">Typ
(R/C)</t>
  </si>
  <si>
    <t xml:space="preserve">Wahrscheinlichkeit
(1-5)</t>
  </si>
  <si>
    <t xml:space="preserve">Auswirkung
(1-5)</t>
  </si>
  <si>
    <t xml:space="preserve">Risikozahl
(W×A)</t>
  </si>
  <si>
    <t xml:space="preserve">Stufe
(H/M/L)</t>
  </si>
  <si>
    <t xml:space="preserve">Geplante Maßnahmen</t>
  </si>
  <si>
    <t xml:space="preserve">Termin</t>
  </si>
  <si>
    <t xml:space="preserve">Wirksamkeit
geprüft</t>
  </si>
  <si>
    <t xml:space="preserve">Qualität</t>
  </si>
  <si>
    <t xml:space="preserve">Fehler werden vor Auslieferung nicht erkannt</t>
  </si>
  <si>
    <t xml:space="preserve">Endprüfprozess stärken; Prüfplan aktualisieren</t>
  </si>
  <si>
    <t xml:space="preserve">Lieferant liefert nicht konforme Materialien</t>
  </si>
  <si>
    <t xml:space="preserve">Lieferantenqualifizierung und Wareneingangsprüfung</t>
  </si>
  <si>
    <t xml:space="preserve">Chemischer Unfall mit Boden-/Wasserverschmutzung</t>
  </si>
  <si>
    <t xml:space="preserve">Notfallplan; Sekundärcontainment; Mitarbeiterschulung</t>
  </si>
  <si>
    <t xml:space="preserve">Überschreitung genehmigter Emissionsgrenzwerte</t>
  </si>
  <si>
    <t xml:space="preserve">Regelmäßiges Monitoring; Wartungsplan für Emissionsquellen</t>
  </si>
  <si>
    <t xml:space="preserve">Laufend</t>
  </si>
  <si>
    <t xml:space="preserve">Arbeitsschutz</t>
  </si>
  <si>
    <t xml:space="preserve">Arbeitsunfall durch unzureichende Sicherheitsmaßnahmen</t>
  </si>
  <si>
    <t xml:space="preserve">Gefährdungsbeurteilung aktualisieren; Sicherheitsschulung; PSA bereitstellen</t>
  </si>
  <si>
    <t xml:space="preserve">Psychosoziale Risiken — Stress, Burnout bei Mitarbeitenden</t>
  </si>
  <si>
    <t xml:space="preserve">Arbeitsbelastungsmonitoring; Programm für psychische Gesundheit</t>
  </si>
  <si>
    <t xml:space="preserve">Recht</t>
  </si>
  <si>
    <t xml:space="preserve">Nichtkonformität mit ISO 9001/14001 Revision 2026</t>
  </si>
  <si>
    <t xml:space="preserve">Gap-Analyse gegen neue Anforderungen; Übergangsplan bis Q3 2026</t>
  </si>
  <si>
    <t xml:space="preserve">Verlust von Schlüsselpersonal und Wissensverlust</t>
  </si>
  <si>
    <t xml:space="preserve">Wissensmanagement; Nachfolgeplanung</t>
  </si>
  <si>
    <t xml:space="preserve">C-01</t>
  </si>
  <si>
    <t xml:space="preserve">ISO 9001 Zertifizierung erschließt neue B2B-Marktsegmente</t>
  </si>
  <si>
    <t xml:space="preserve">C</t>
  </si>
  <si>
    <t xml:space="preserve">Gezielte Vertriebsstrategie für zertifizierte Märkte entwickeln</t>
  </si>
  <si>
    <t xml:space="preserve">C-02</t>
  </si>
  <si>
    <t xml:space="preserve">CSRD-Konformität positioniert Unternehmen als ESG-Vorreiter</t>
  </si>
  <si>
    <t xml:space="preserve">CSRD-Berichterstattung mit ISO 14001 Zielen integrieren</t>
  </si>
  <si>
    <t xml:space="preserve">C-03</t>
  </si>
  <si>
    <t xml:space="preserve">Weniger Unfälle führen zu niedrigeren Versicherungsprämien</t>
  </si>
  <si>
    <t xml:space="preserve">Sicherheitsverbesserungen dokumentieren; mit Versicherer verhandeln</t>
  </si>
  <si>
    <t xml:space="preserve">Finanz / HSE</t>
  </si>
  <si>
    <t xml:space="preserve">C-04</t>
  </si>
  <si>
    <t xml:space="preserve">KI-gestützte Compliance-Tools reduzieren Auditvorbereitungszeit</t>
  </si>
  <si>
    <t xml:space="preserve">NormWise KI-Plattform für laufende Compliance implementieren</t>
  </si>
  <si>
    <t xml:space="preserve">ISO-Maßnahmenplan — Ziele &amp; Maßnahmen</t>
  </si>
  <si>
    <t xml:space="preserve">ISO-Kapitel</t>
  </si>
  <si>
    <t xml:space="preserve">Ziel</t>
  </si>
  <si>
    <t xml:space="preserve">Norm</t>
  </si>
  <si>
    <t xml:space="preserve">Maßnahme / Aktivität</t>
  </si>
  <si>
    <t xml:space="preserve">Erforderliche
Ressourcen</t>
  </si>
  <si>
    <t xml:space="preserve">Start-
datum</t>
  </si>
  <si>
    <t xml:space="preserve">Ziel-
datum</t>
  </si>
  <si>
    <t xml:space="preserve">KPI / Nachweis</t>
  </si>
  <si>
    <t xml:space="preserve">Geprüft
von</t>
  </si>
  <si>
    <t xml:space="preserve">Vollständige Analyse des Organisationskontextes und der interessierten Parteien</t>
  </si>
  <si>
    <t xml:space="preserve">Kontext- und Stakeholder-Blätter in dieser Arbeitsmappe ausfüllen</t>
  </si>
  <si>
    <t xml:space="preserve">2h Management-Workshop</t>
  </si>
  <si>
    <t xml:space="preserve">Ausgefülltes Kontextregister</t>
  </si>
  <si>
    <t xml:space="preserve">Führung und Verpflichtung des Top-Managements nachweisen</t>
  </si>
  <si>
    <t xml:space="preserve">Formelle Managementbewertung durchführen; Ergebnisse dokumentieren</t>
  </si>
  <si>
    <t xml:space="preserve">Besprechungsraum; 4h</t>
  </si>
  <si>
    <t xml:space="preserve">Mär 2026</t>
  </si>
  <si>
    <t xml:space="preserve">Protokoll der Managementbewertung</t>
  </si>
  <si>
    <t xml:space="preserve">Qualitäts-/Umwelt-/Sicherheitspolitik festlegen und kommunizieren</t>
  </si>
  <si>
    <t xml:space="preserve">IMS-Politik verfassen; genehmigen lassen; an alle Mitarbeitenden verteilen</t>
  </si>
  <si>
    <t xml:space="preserve">1 Tag Erstellung</t>
  </si>
  <si>
    <t xml:space="preserve">Unterzeichnetes Politikdokument</t>
  </si>
  <si>
    <t xml:space="preserve">Umfassende Risiko- und Chancenbewertung durchführen</t>
  </si>
  <si>
    <t xml:space="preserve">Risikoregister in dieser Arbeitsmappe ausfüllen; quartalsweise überprüfen</t>
  </si>
  <si>
    <t xml:space="preserve">4h Workshop</t>
  </si>
  <si>
    <t xml:space="preserve">Ausgefülltes Risikoregister</t>
  </si>
  <si>
    <t xml:space="preserve">Messbare Qualitäts-, Umwelt- und Sicherheitsziele festlegen</t>
  </si>
  <si>
    <t xml:space="preserve">SMART-Ziele definieren; mit KPIs verknüpfen; monatlich überwachen</t>
  </si>
  <si>
    <t xml:space="preserve">Management-Input</t>
  </si>
  <si>
    <t xml:space="preserve">Ziel-Dashboard; Monatsberichte</t>
  </si>
  <si>
    <t xml:space="preserve">Ausreichende Ressourcen für die IMS-Umsetzung sicherstellen</t>
  </si>
  <si>
    <t xml:space="preserve">Budgetplanung; Kompetenzmatrix; Infrastruktur-Audit</t>
  </si>
  <si>
    <t xml:space="preserve">Budgetgenehmigung</t>
  </si>
  <si>
    <t xml:space="preserve">Finanz / Geschäftsführung</t>
  </si>
  <si>
    <t xml:space="preserve">Budgetplan; Ressourcenmatrix</t>
  </si>
  <si>
    <t xml:space="preserve">Kompetenz aller relevanten Mitarbeitenden bewerten und verbessern</t>
  </si>
  <si>
    <t xml:space="preserve">Kompetenzlückenanalyse durchführen; Schulungsplan erstellen</t>
  </si>
  <si>
    <t xml:space="preserve">Personalabteilung; Schulungsbudget</t>
  </si>
  <si>
    <t xml:space="preserve">Mai 2026</t>
  </si>
  <si>
    <t xml:space="preserve">Schulungsnachweise; Kompetenzmatrix</t>
  </si>
  <si>
    <t xml:space="preserve">Strukturierten internen und externen Kommunikationsplan umsetzen</t>
  </si>
  <si>
    <t xml:space="preserve">Was, wann, an wen und wie IMS-Themen kommuniziert werden, festlegen</t>
  </si>
  <si>
    <t xml:space="preserve">Kommunikationsvorlagen</t>
  </si>
  <si>
    <t xml:space="preserve">Kommunikationsplan-Dokument</t>
  </si>
  <si>
    <t xml:space="preserve">Dokumenten- und Aufzeichnungslenkungssystem einrichten</t>
  </si>
  <si>
    <t xml:space="preserve">Dokumentenregister aufstellen; Aufbewahrungsfristen definieren; Schulungen</t>
  </si>
  <si>
    <t xml:space="preserve">Dokumentenmanagementsystem</t>
  </si>
  <si>
    <t xml:space="preserve">Dokumentenregister; versionierte Dokumente</t>
  </si>
  <si>
    <t xml:space="preserve">Alle betrieblichen Prozesse planen und steuern</t>
  </si>
  <si>
    <t xml:space="preserve">Kernprozesse erfassen und dokumentieren; Prozesskontrollen definieren</t>
  </si>
  <si>
    <t xml:space="preserve">Prozessmodellierungs-Workshop</t>
  </si>
  <si>
    <t xml:space="preserve">Prozesslandkarte; Verfahrensanweisungen</t>
  </si>
  <si>
    <t xml:space="preserve">Betriebliche Maßnahmen für Arbeitsschutzrisiken umsetzen</t>
  </si>
  <si>
    <t xml:space="preserve">Maßnahmenhierarchie; sichere Arbeitsverfahren; PSA-Matrix</t>
  </si>
  <si>
    <t xml:space="preserve">HSE-Budget; PSA-Ausstattung</t>
  </si>
  <si>
    <t xml:space="preserve">Sichere Arbeitsverfahren; PSA-Nachweise</t>
  </si>
  <si>
    <t xml:space="preserve">System zur Leistungsüberwachung und -messung implementieren</t>
  </si>
  <si>
    <t xml:space="preserve">KPIs definieren; Überwachungsplan erstellen; monatliche Berichte</t>
  </si>
  <si>
    <t xml:space="preserve">Datenerfassungstools</t>
  </si>
  <si>
    <t xml:space="preserve">KPI-Dashboard; Monatsberichte</t>
  </si>
  <si>
    <t xml:space="preserve">Interne Audits über alle IMS-Elemente durchführen</t>
  </si>
  <si>
    <t xml:space="preserve">Auditprogramm entwickeln; interne Auditoren schulen; Audits durchführen</t>
  </si>
  <si>
    <t xml:space="preserve">Auditschulung; 2 Tage/Audit</t>
  </si>
  <si>
    <t xml:space="preserve">Leitender Auditor</t>
  </si>
  <si>
    <t xml:space="preserve">Auditberichte; Abweichungsregister</t>
  </si>
  <si>
    <t xml:space="preserve">Jährliche Managementbewertung durchführen</t>
  </si>
  <si>
    <t xml:space="preserve">Tagesordnung und Eingangsdaten für Managementbewertung vorbereiten</t>
  </si>
  <si>
    <t xml:space="preserve">1 Tag Führungszeit</t>
  </si>
  <si>
    <t xml:space="preserve">Dez 2026</t>
  </si>
  <si>
    <t xml:space="preserve">Korrekturmaßnahmenprozess für Abweichungen implementieren</t>
  </si>
  <si>
    <t xml:space="preserve">KM-Prozess definieren; Ursachenanalyse; Wirksamkeitsprüfung</t>
  </si>
  <si>
    <t xml:space="preserve">KM-Verfolgungssystem</t>
  </si>
  <si>
    <t xml:space="preserve">KM-Register; abgeschlossene KMAs</t>
  </si>
  <si>
    <t xml:space="preserve">Kontinuierliche Verbesserung in allen IMS-Bereichen vorantreiben</t>
  </si>
  <si>
    <t xml:space="preserve">Regelmäßige Verbesserungsreviews; NormWise KI für laufende Compliance-Fragen</t>
  </si>
  <si>
    <t xml:space="preserve">NormWise-Abonnement</t>
  </si>
  <si>
    <t xml:space="preserve">Verbesserungsprotokoll; Audit-Trendanalyse</t>
  </si>
  <si>
    <t xml:space="preserve">Contexte organisationnel — Enjeux internes &amp; externes</t>
  </si>
  <si>
    <t xml:space="preserve">N°</t>
  </si>
  <si>
    <t xml:space="preserve">Catégorie</t>
  </si>
  <si>
    <t xml:space="preserve">Thème / Enjeu</t>
  </si>
  <si>
    <t xml:space="preserve">Impact sur QMS / EMS / SST</t>
  </si>
  <si>
    <t xml:space="preserve">Norme(s)</t>
  </si>
  <si>
    <t xml:space="preserve">Priorité
(H/M/L)</t>
  </si>
  <si>
    <t xml:space="preserve">Date de révision</t>
  </si>
  <si>
    <t xml:space="preserve">Responsable</t>
  </si>
  <si>
    <t xml:space="preserve">  INTERNE</t>
  </si>
  <si>
    <t xml:space="preserve">Organisation &amp; Gouvernance</t>
  </si>
  <si>
    <t xml:space="preserve">Engagement de la direction et style de leadership</t>
  </si>
  <si>
    <t xml:space="preserve">Interne</t>
  </si>
  <si>
    <t xml:space="preserve">Influence le déploiement des politiques et l'allocation des ressources</t>
  </si>
  <si>
    <t xml:space="preserve">Direction</t>
  </si>
  <si>
    <t xml:space="preserve">Structure organisationnelle et responsabilités</t>
  </si>
  <si>
    <t xml:space="preserve">Définit la responsabilisation dans le SMI</t>
  </si>
  <si>
    <t xml:space="preserve">Resp. QSE</t>
  </si>
  <si>
    <t xml:space="preserve">Processus &amp; Opérations</t>
  </si>
  <si>
    <t xml:space="preserve">Processus métier clés et leurs interactions</t>
  </si>
  <si>
    <t xml:space="preserve">Base de l'approche processus et amélioration continue</t>
  </si>
  <si>
    <t xml:space="preserve">Pilote de processus</t>
  </si>
  <si>
    <t xml:space="preserve">Pratiques de santé et sécurité au travail</t>
  </si>
  <si>
    <t xml:space="preserve">Identification des dangers et maîtrise des risques</t>
  </si>
  <si>
    <t xml:space="preserve">Resp. HSE</t>
  </si>
  <si>
    <t xml:space="preserve">Ressources &amp; Infrastructure</t>
  </si>
  <si>
    <t xml:space="preserve">Compétences, formation et sensibilisation</t>
  </si>
  <si>
    <t xml:space="preserve">Qualité des livrables et conformité légale</t>
  </si>
  <si>
    <t xml:space="preserve">DRH</t>
  </si>
  <si>
    <t xml:space="preserve">Équipements, installations et technologie</t>
  </si>
  <si>
    <t xml:space="preserve">Fiabilité des processus et empreinte environnementale</t>
  </si>
  <si>
    <t xml:space="preserve">Opérations</t>
  </si>
  <si>
    <t xml:space="preserve">Culture &amp; Valeurs</t>
  </si>
  <si>
    <t xml:space="preserve">Culture qualité et développement durable</t>
  </si>
  <si>
    <t xml:space="preserve">Engagement des employés et respect des politiques</t>
  </si>
  <si>
    <t xml:space="preserve">  EXTERNE</t>
  </si>
  <si>
    <t xml:space="preserve">Juridique &amp; Réglementaire</t>
  </si>
  <si>
    <t xml:space="preserve">Exigences des normes ISO (9001/14001/45001)</t>
  </si>
  <si>
    <t xml:space="preserve">Externe</t>
  </si>
  <si>
    <t xml:space="preserve">Conformité obligatoire — base d'audit</t>
  </si>
  <si>
    <t xml:space="preserve">Législation environnementale et sécurité UE/nationale</t>
  </si>
  <si>
    <t xml:space="preserve">Conformité légale — risque de sanctions</t>
  </si>
  <si>
    <t xml:space="preserve">Juridique / HSE</t>
  </si>
  <si>
    <t xml:space="preserve">Marché &amp; Concurrence</t>
  </si>
  <si>
    <t xml:space="preserve">Attentes clients et tendances du marché</t>
  </si>
  <si>
    <t xml:space="preserve">Satisfaction et fidélisation client</t>
  </si>
  <si>
    <t xml:space="preserve">Resp. Commercial</t>
  </si>
  <si>
    <t xml:space="preserve">Paysage concurrentiel et benchmarks sectoriels</t>
  </si>
  <si>
    <t xml:space="preserve">Positionnement stratégique et amélioration</t>
  </si>
  <si>
    <t xml:space="preserve">Économie &amp; Société</t>
  </si>
  <si>
    <t xml:space="preserve">Conditions économiques et stabilité de la supply chain</t>
  </si>
  <si>
    <t xml:space="preserve">Disponibilité des ressources et maîtrise des coûts</t>
  </si>
  <si>
    <t xml:space="preserve">Achats</t>
  </si>
  <si>
    <t xml:space="preserve">Reporting ESG / durabilité (CSRD)</t>
  </si>
  <si>
    <t xml:space="preserve">Indicateurs de performance environnementale et sociale</t>
  </si>
  <si>
    <t xml:space="preserve">Digitalisation et IA dans la conformité</t>
  </si>
  <si>
    <t xml:space="preserve">Efficacité des processus et préparation aux audits</t>
  </si>
  <si>
    <t xml:space="preserve">Resp. IT</t>
  </si>
  <si>
    <t xml:space="preserve">Parties intéressées — Besoins &amp; Attentes</t>
  </si>
  <si>
    <t xml:space="preserve">Groupe de parties prenantes</t>
  </si>
  <si>
    <t xml:space="preserve">Partie spécifique</t>
  </si>
  <si>
    <t xml:space="preserve">Besoins &amp; Attentes</t>
  </si>
  <si>
    <t xml:space="preserve">Norme(s) applicable(s)</t>
  </si>
  <si>
    <t xml:space="preserve">Intérêt
(H/M/L)</t>
  </si>
  <si>
    <t xml:space="preserve">Méthode de suivi</t>
  </si>
  <si>
    <t xml:space="preserve">Fréquence de révision</t>
  </si>
  <si>
    <t xml:space="preserve">Clients / Donneurs d'ordre</t>
  </si>
  <si>
    <t xml:space="preserve">Clients finaux, clients B2B</t>
  </si>
  <si>
    <t xml:space="preserve">Qualité produit/service, livraison dans les délais, performance constante, gestion des réclamations</t>
  </si>
  <si>
    <t xml:space="preserve">Enquêtes clients, KPIs, registre réclamations</t>
  </si>
  <si>
    <t xml:space="preserve">Trimestriel</t>
  </si>
  <si>
    <t xml:space="preserve">Employés</t>
  </si>
  <si>
    <t xml:space="preserve">Tout le personnel, intérimaires</t>
  </si>
  <si>
    <t xml:space="preserve">Environnement de travail sûr, rémunération équitable, développement de carrière, communication claire</t>
  </si>
  <si>
    <t xml:space="preserve">Enquêtes RH, rapports sécurité, KPIs RH</t>
  </si>
  <si>
    <t xml:space="preserve">Annuel</t>
  </si>
  <si>
    <t xml:space="preserve">Direction / Propriétaires</t>
  </si>
  <si>
    <t xml:space="preserve">Conseil d'administration, actionnaires</t>
  </si>
  <si>
    <t xml:space="preserve">Rentabilité, conformité légale, croissance stratégique, efficacité du SMI</t>
  </si>
  <si>
    <t xml:space="preserve">Revue de direction, rapports financiers</t>
  </si>
  <si>
    <t xml:space="preserve">PDG</t>
  </si>
  <si>
    <t xml:space="preserve">Autorités / Organismes de certification</t>
  </si>
  <si>
    <t xml:space="preserve">Organisme ISO, autorités publiques</t>
  </si>
  <si>
    <t xml:space="preserve">Conformité totale aux normes, preuves documentées, actions correctives</t>
  </si>
  <si>
    <t xml:space="preserve">Audits internes, audits de certification</t>
  </si>
  <si>
    <t xml:space="preserve">Fournisseurs / Partenaires</t>
  </si>
  <si>
    <t xml:space="preserve">Fournisseurs de matières premières, sous-traitants</t>
  </si>
  <si>
    <t xml:space="preserve">Cahier des charges clair, conditions de paiement équitables, partenariat durable</t>
  </si>
  <si>
    <t xml:space="preserve">Évaluations fournisseurs, audits</t>
  </si>
  <si>
    <t xml:space="preserve">Communauté locale</t>
  </si>
  <si>
    <t xml:space="preserve">Riverains, ONG, médias</t>
  </si>
  <si>
    <t xml:space="preserve">Protection environnementale, contrôle bruit/émissions, responsabilité sociale</t>
  </si>
  <si>
    <t xml:space="preserve">Retours communauté, surveillance environnementale</t>
  </si>
  <si>
    <t xml:space="preserve">Environnement</t>
  </si>
  <si>
    <t xml:space="preserve">Écosystèmes, générations futures</t>
  </si>
  <si>
    <t xml:space="preserve">Réduction des émissions, minimisation des déchets, efficacité des ressources</t>
  </si>
  <si>
    <t xml:space="preserve">KPIs environnementaux, veille réglementaire</t>
  </si>
  <si>
    <t xml:space="preserve">Assurances / Banques</t>
  </si>
  <si>
    <t xml:space="preserve">Assureurs, établissements financiers</t>
  </si>
  <si>
    <t xml:space="preserve">Preuves de gestion des risques, stabilité financière, dossiers de conformité</t>
  </si>
  <si>
    <t xml:space="preserve">Registre des risques, rapports financiers</t>
  </si>
  <si>
    <t xml:space="preserve">DAF</t>
  </si>
  <si>
    <t xml:space="preserve">Registre des Risques &amp; Opportunités</t>
  </si>
  <si>
    <t xml:space="preserve">  Score: 1-8 = FAIBLE (vert)   9-15 = MOYEN (orange)   16-25 = ÉLEVÉ (rouge)   |   R = Risque   O = Opportunité</t>
  </si>
  <si>
    <t xml:space="preserve">Description du Risque / Opportunité</t>
  </si>
  <si>
    <t xml:space="preserve">Probabilité
(1-5)</t>
  </si>
  <si>
    <t xml:space="preserve">Score
(P×I)</t>
  </si>
  <si>
    <t xml:space="preserve">Niveau
(H/M/L)</t>
  </si>
  <si>
    <t xml:space="preserve">Actions planifiées</t>
  </si>
  <si>
    <t xml:space="preserve">Échéance</t>
  </si>
  <si>
    <t xml:space="preserve">Efficacité
vérifiée</t>
  </si>
  <si>
    <t xml:space="preserve">Qualité</t>
  </si>
  <si>
    <t xml:space="preserve">Non-conformités non détectées avant livraison</t>
  </si>
  <si>
    <t xml:space="preserve">Renforcer l'inspection finale; mettre à jour le plan de contrôle</t>
  </si>
  <si>
    <t xml:space="preserve">T2 2026</t>
  </si>
  <si>
    <t xml:space="preserve">Fournisseur livre des matériaux non conformes</t>
  </si>
  <si>
    <t xml:space="preserve">Qualification fournisseurs et contrôle à la réception</t>
  </si>
  <si>
    <t xml:space="preserve">Déversement chimique accidentel contaminant sol/eau</t>
  </si>
  <si>
    <t xml:space="preserve">Plan d'urgence; confinement secondaire; formation du personnel</t>
  </si>
  <si>
    <t xml:space="preserve">T1 2026</t>
  </si>
  <si>
    <t xml:space="preserve">Dépassement des limites d'émissions autorisées</t>
  </si>
  <si>
    <t xml:space="preserve">Surveillance régulière; plan de maintenance des sources d'émission</t>
  </si>
  <si>
    <t xml:space="preserve">En cours</t>
  </si>
  <si>
    <t xml:space="preserve">SST</t>
  </si>
  <si>
    <t xml:space="preserve">Accident du travail dû à des mesures de sécurité insuffisantes</t>
  </si>
  <si>
    <t xml:space="preserve">Mise à jour évaluation des risques; formation sécurité; EPI</t>
  </si>
  <si>
    <t xml:space="preserve">Risques psychosociaux — stress, burnout des employés</t>
  </si>
  <si>
    <t xml:space="preserve">Surveillance charge de travail; programme de soutien santé mentale</t>
  </si>
  <si>
    <t xml:space="preserve">Juridique</t>
  </si>
  <si>
    <t xml:space="preserve">Non-conformité à la révision ISO 9001/14001 2026</t>
  </si>
  <si>
    <t xml:space="preserve">Analyse d'écarts vs nouvelles exigences; plan de transition T3 2026</t>
  </si>
  <si>
    <t xml:space="preserve">T3 2026</t>
  </si>
  <si>
    <t xml:space="preserve">Opérationnel</t>
  </si>
  <si>
    <t xml:space="preserve">Départ de personnel clé entraînant perte de connaissances</t>
  </si>
  <si>
    <t xml:space="preserve">Système de gestion des connaissances; plan de succession</t>
  </si>
  <si>
    <t xml:space="preserve">Certification ISO 9001 ouvre de nouveaux segments B2B</t>
  </si>
  <si>
    <t xml:space="preserve">Développer stratégie commerciale ciblée pour marchés certifiés</t>
  </si>
  <si>
    <t xml:space="preserve">Conformité CSRD positionne l'entreprise comme leader ESG</t>
  </si>
  <si>
    <t xml:space="preserve">Intégrer le reporting CSRD aux objectifs ISO 14001</t>
  </si>
  <si>
    <t xml:space="preserve">T4 2026</t>
  </si>
  <si>
    <t xml:space="preserve">Réduction des accidents → baisse des primes d'assurance</t>
  </si>
  <si>
    <t xml:space="preserve">Documenter les améliorations sécurité; négocier avec assureur</t>
  </si>
  <si>
    <t xml:space="preserve">DAF / HSE</t>
  </si>
  <si>
    <t xml:space="preserve">Outils IA réduisent le temps de préparation aux audits</t>
  </si>
  <si>
    <t xml:space="preserve">Implémenter NormWise IA pour la conformité continue</t>
  </si>
  <si>
    <t xml:space="preserve">Plan d'action ISO — Objectifs &amp; Mesures</t>
  </si>
  <si>
    <t xml:space="preserve">Clause ISO</t>
  </si>
  <si>
    <t xml:space="preserve">Objectif</t>
  </si>
  <si>
    <t xml:space="preserve">Norme</t>
  </si>
  <si>
    <t xml:space="preserve">Mesure / Action</t>
  </si>
  <si>
    <t xml:space="preserve">Ressources
nécessaires</t>
  </si>
  <si>
    <t xml:space="preserve">Date de
début</t>
  </si>
  <si>
    <t xml:space="preserve">Date
cible</t>
  </si>
  <si>
    <t xml:space="preserve">Statut
(%)</t>
  </si>
  <si>
    <t xml:space="preserve">KPI / Preuve</t>
  </si>
  <si>
    <t xml:space="preserve">Vérifié
par</t>
  </si>
  <si>
    <t xml:space="preserve">Analyse complète du contexte organisationnel et des parties prenantes</t>
  </si>
  <si>
    <t xml:space="preserve">Remplir les feuilles Contexte et Parties Prenantes de ce classeur</t>
  </si>
  <si>
    <t xml:space="preserve">Atelier direction 2h</t>
  </si>
  <si>
    <t xml:space="preserve">Fév 2026</t>
  </si>
  <si>
    <t xml:space="preserve">Registre de contexte complété</t>
  </si>
  <si>
    <t xml:space="preserve">Démontrer le leadership et l'engagement de la direction</t>
  </si>
  <si>
    <t xml:space="preserve">Conduire une revue de direction formelle; documenter les résultats</t>
  </si>
  <si>
    <t xml:space="preserve">Salle réunion; 4h</t>
  </si>
  <si>
    <t xml:space="preserve">Compte rendu de revue de direction</t>
  </si>
  <si>
    <t xml:space="preserve">Établir et communiquer la politique qualité/environnement/sécurité</t>
  </si>
  <si>
    <t xml:space="preserve">Rédiger la politique SMI; approbation; distribuer à tout le personnel</t>
  </si>
  <si>
    <t xml:space="preserve">1 jour rédaction</t>
  </si>
  <si>
    <t xml:space="preserve">Document politique signé</t>
  </si>
  <si>
    <t xml:space="preserve">Réaliser une évaluation complète des risques et opportunités</t>
  </si>
  <si>
    <t xml:space="preserve">Compléter le Registre des Risques; révision trimestrielle</t>
  </si>
  <si>
    <t xml:space="preserve">Atelier 4h</t>
  </si>
  <si>
    <t xml:space="preserve">Registre des risques complété</t>
  </si>
  <si>
    <t xml:space="preserve">Définir des objectifs mesurables qualité, environnement et sécurité</t>
  </si>
  <si>
    <t xml:space="preserve">Définir des objectifs SMART; lier aux KPIs; suivi mensuel</t>
  </si>
  <si>
    <t xml:space="preserve">Contribution direction</t>
  </si>
  <si>
    <t xml:space="preserve">Tableau de bord objectifs; rapports mensuels</t>
  </si>
  <si>
    <t xml:space="preserve">Assurer les ressources adéquates pour la mise en œuvre du SMI</t>
  </si>
  <si>
    <t xml:space="preserve">Allocation budgétaire; matrice de compétences; audit infrastructure</t>
  </si>
  <si>
    <t xml:space="preserve">Approbation budget</t>
  </si>
  <si>
    <t xml:space="preserve">DAF / Direction</t>
  </si>
  <si>
    <t xml:space="preserve">Avr 2026</t>
  </si>
  <si>
    <t xml:space="preserve">Plan budgétaire; matrice ressources</t>
  </si>
  <si>
    <t xml:space="preserve">Évaluer et améliorer les compétences du personnel concerné</t>
  </si>
  <si>
    <t xml:space="preserve">Analyse des écarts de compétences; créer un plan de formation</t>
  </si>
  <si>
    <t xml:space="preserve">RH; budget formation</t>
  </si>
  <si>
    <t xml:space="preserve">Dossiers de formation; matrice compétences</t>
  </si>
  <si>
    <t xml:space="preserve">Mettre en œuvre un plan de communication interne et externe</t>
  </si>
  <si>
    <t xml:space="preserve">Définir quoi, quand, à qui et comment communiquer les sujets SMI</t>
  </si>
  <si>
    <t xml:space="preserve">Modèles de communication</t>
  </si>
  <si>
    <t xml:space="preserve">Document plan de communication</t>
  </si>
  <si>
    <t xml:space="preserve">Établir le système de maîtrise des documents et enregistrements</t>
  </si>
  <si>
    <t xml:space="preserve">Créer registre documents; définir durées conservation; former le personnel</t>
  </si>
  <si>
    <t xml:space="preserve">Système GED</t>
  </si>
  <si>
    <t xml:space="preserve">Registre documents; docs versionnés</t>
  </si>
  <si>
    <t xml:space="preserve">Planifier et maîtriser tous les processus opérationnels</t>
  </si>
  <si>
    <t xml:space="preserve">Cartographier et documenter les processus clés; définir les contrôles</t>
  </si>
  <si>
    <t xml:space="preserve">Atelier cartographie processus</t>
  </si>
  <si>
    <t xml:space="preserve">Pilote processus</t>
  </si>
  <si>
    <t xml:space="preserve">Cartographie processus; procédures</t>
  </si>
  <si>
    <t xml:space="preserve">Mettre en œuvre les mesures de maîtrise des risques SST</t>
  </si>
  <si>
    <t xml:space="preserve">Hiérarchie des mesures; procédures de travail sûres; matrice EPI</t>
  </si>
  <si>
    <t xml:space="preserve">Budget HSE; EPI</t>
  </si>
  <si>
    <t xml:space="preserve">Procédures de travail sûres; registre EPI</t>
  </si>
  <si>
    <t xml:space="preserve">Implémenter un système de surveillance et mesure des performances</t>
  </si>
  <si>
    <t xml:space="preserve">Définir KPIs; établir calendrier de surveillance; rapports mensuels</t>
  </si>
  <si>
    <t xml:space="preserve">Outils de collecte données</t>
  </si>
  <si>
    <t xml:space="preserve">Tableau de bord KPIs; rapports mensuels</t>
  </si>
  <si>
    <t xml:space="preserve">Conduire des audits internes sur tous les éléments du SMI</t>
  </si>
  <si>
    <t xml:space="preserve">Développer programme audit; former auditeurs internes; réaliser audits</t>
  </si>
  <si>
    <t xml:space="preserve">Formation audit; 2j/audit</t>
  </si>
  <si>
    <t xml:space="preserve">Auditeur principal</t>
  </si>
  <si>
    <t xml:space="preserve">Rapports audit; registre non-conformités</t>
  </si>
  <si>
    <t xml:space="preserve">Conduire la revue de direction annuelle</t>
  </si>
  <si>
    <t xml:space="preserve">Préparer ordre du jour et données d'entrée; tenir la réunion</t>
  </si>
  <si>
    <t xml:space="preserve">1 jour direction</t>
  </si>
  <si>
    <t xml:space="preserve">Déc 2026</t>
  </si>
  <si>
    <t xml:space="preserve">Compte rendu revue de direction</t>
  </si>
  <si>
    <t xml:space="preserve">Mettre en œuvre le processus d'actions correctives</t>
  </si>
  <si>
    <t xml:space="preserve">Définir processus AC; analyse causes; vérification efficacité</t>
  </si>
  <si>
    <t xml:space="preserve">Système suivi AC</t>
  </si>
  <si>
    <t xml:space="preserve">Registre AC; fiches AC closes</t>
  </si>
  <si>
    <t xml:space="preserve">Piloter l'amélioration continue dans tous les domaines SMI</t>
  </si>
  <si>
    <t xml:space="preserve">Revues d'amélioration régulières; NormWise IA pour questions conformité</t>
  </si>
  <si>
    <t xml:space="preserve">Abonnement NormWise</t>
  </si>
  <si>
    <t xml:space="preserve">Journal améliorations; analyse tendances audit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</si>
</sst>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\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Arial"/>
      <family val="0"/>
      <charset val="1"/>
    </font>
    <font>
      <sz val="13"/>
      <color rgb="FF94A3B8"/>
      <name val="Arial"/>
      <family val="0"/>
      <charset val="1"/>
    </font>
    <font>
      <b val="true"/>
      <sz val="13"/>
      <color rgb="FF0D1B2A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1"/>
      <color rgb="FF1A4FA8"/>
      <name val="Arial"/>
      <family val="0"/>
      <charset val="1"/>
    </font>
    <font>
      <b val="true"/>
      <sz val="11"/>
      <color rgb="FF64748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94A3B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64748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F59E0B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A4FA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A3A5C"/>
        <bgColor rgb="FF333333"/>
      </patternFill>
    </fill>
    <fill>
      <patternFill patternType="solid">
        <fgColor rgb="FF1A4FA8"/>
        <bgColor rgb="FF333399"/>
      </patternFill>
    </fill>
    <fill>
      <patternFill patternType="solid">
        <fgColor rgb="FFF4F6F9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FF"/>
        <bgColor rgb="FFF4F6F9"/>
      </patternFill>
    </fill>
    <fill>
      <patternFill patternType="solid">
        <fgColor rgb="FFFEF3C7"/>
        <bgColor rgb="FFFEE2E2"/>
      </patternFill>
    </fill>
    <fill>
      <patternFill patternType="solid">
        <fgColor rgb="FFC0392B"/>
        <bgColor rgb="FF993366"/>
      </patternFill>
    </fill>
    <fill>
      <patternFill patternType="solid">
        <fgColor rgb="FFDCFCE7"/>
        <bgColor rgb="FFF4F6F9"/>
      </patternFill>
    </fill>
    <fill>
      <patternFill patternType="solid">
        <fgColor rgb="FFDBEAFE"/>
        <bgColor rgb="FFDCF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1A4FA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4F6F9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59E0B"/>
      <rgbColor rgb="FFFF6600"/>
      <rgbColor rgb="FF64748B"/>
      <rgbColor rgb="FF94A3B8"/>
      <rgbColor rgb="FF1A3A5C"/>
      <rgbColor rgb="FF16A34A"/>
      <rgbColor rgb="FF0D1B2A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49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  <col collapsed="false" customWidth="true" hidden="false" outlineLevel="0" max="3" min="3" style="0" width="30"/>
  </cols>
  <sheetData>
    <row r="1" customFormat="false" ht="19.5" hidden="false" customHeight="true" outlineLevel="0" collapsed="false"/>
    <row r="2" customFormat="false" ht="19.5" hidden="false" customHeight="true" outlineLevel="0" collapsed="false"/>
    <row r="3" customFormat="false" ht="60" hidden="false" customHeight="true" outlineLevel="0" collapsed="false">
      <c r="B3" s="1" t="s">
        <v>0</v>
      </c>
      <c r="C3" s="1"/>
    </row>
    <row r="4" customFormat="false" ht="30" hidden="false" customHeight="true" outlineLevel="0" collapsed="false">
      <c r="B4" s="2" t="s">
        <v>1</v>
      </c>
      <c r="C4" s="2"/>
    </row>
    <row r="5" customFormat="false" ht="19.5" hidden="false" customHeight="true" outlineLevel="0" collapsed="false"/>
    <row r="6" customFormat="false" ht="24.75" hidden="false" customHeight="true" outlineLevel="0" collapsed="false">
      <c r="B6" s="3" t="s">
        <v>2</v>
      </c>
      <c r="C6" s="3"/>
    </row>
    <row r="7" customFormat="false" ht="19.5" hidden="false" customHeight="true" outlineLevel="0" collapsed="false"/>
    <row r="8" customFormat="false" ht="21.75" hidden="false" customHeight="true" outlineLevel="0" collapsed="false">
      <c r="B8" s="4" t="s">
        <v>3</v>
      </c>
    </row>
    <row r="9" customFormat="false" ht="30" hidden="false" customHeight="true" outlineLevel="0" collapsed="false">
      <c r="B9" s="5" t="s">
        <v>4</v>
      </c>
    </row>
    <row r="10" customFormat="false" ht="21.75" hidden="false" customHeight="true" outlineLevel="0" collapsed="false">
      <c r="B10" s="4" t="s">
        <v>5</v>
      </c>
    </row>
    <row r="11" customFormat="false" ht="30" hidden="false" customHeight="true" outlineLevel="0" collapsed="false">
      <c r="B11" s="5" t="s">
        <v>6</v>
      </c>
    </row>
    <row r="12" customFormat="false" ht="21.75" hidden="false" customHeight="true" outlineLevel="0" collapsed="false">
      <c r="B12" s="4" t="s">
        <v>7</v>
      </c>
    </row>
    <row r="13" customFormat="false" ht="30" hidden="false" customHeight="true" outlineLevel="0" collapsed="false">
      <c r="B13" s="5" t="s">
        <v>8</v>
      </c>
    </row>
    <row r="14" customFormat="false" ht="21.75" hidden="false" customHeight="true" outlineLevel="0" collapsed="false">
      <c r="B14" s="4" t="s">
        <v>9</v>
      </c>
    </row>
    <row r="15" customFormat="false" ht="30" hidden="false" customHeight="true" outlineLevel="0" collapsed="false">
      <c r="B15" s="5" t="s">
        <v>10</v>
      </c>
    </row>
    <row r="16" customFormat="false" ht="19.5" hidden="false" customHeight="true" outlineLevel="0" collapsed="false"/>
    <row r="17" customFormat="false" ht="21.75" hidden="false" customHeight="true" outlineLevel="0" collapsed="false">
      <c r="B17" s="6" t="s">
        <v>11</v>
      </c>
    </row>
    <row r="18" customFormat="false" ht="30" hidden="false" customHeight="true" outlineLevel="0" collapsed="false">
      <c r="B18" s="5" t="s">
        <v>12</v>
      </c>
    </row>
    <row r="19" customFormat="false" ht="21.75" hidden="false" customHeight="true" outlineLevel="0" collapsed="false">
      <c r="B19" s="6" t="s">
        <v>13</v>
      </c>
    </row>
    <row r="20" customFormat="false" ht="30" hidden="false" customHeight="true" outlineLevel="0" collapsed="false">
      <c r="B20" s="5" t="s">
        <v>14</v>
      </c>
    </row>
    <row r="21" customFormat="false" ht="21.75" hidden="false" customHeight="true" outlineLevel="0" collapsed="false">
      <c r="B21" s="6" t="s">
        <v>15</v>
      </c>
    </row>
    <row r="22" customFormat="false" ht="30" hidden="false" customHeight="true" outlineLevel="0" collapsed="false">
      <c r="B22" s="5" t="s">
        <v>16</v>
      </c>
    </row>
    <row r="23" customFormat="false" ht="19.5" hidden="false" customHeight="true" outlineLevel="0" collapsed="false"/>
    <row r="24" customFormat="false" ht="21.75" hidden="false" customHeight="true" outlineLevel="0" collapsed="false">
      <c r="B24" s="7" t="s">
        <v>17</v>
      </c>
    </row>
    <row r="25" customFormat="false" ht="30" hidden="false" customHeight="true" outlineLevel="0" collapsed="false">
      <c r="B25" s="5" t="s">
        <v>18</v>
      </c>
    </row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</sheetData>
  <mergeCells count="3">
    <mergeCell ref="B3:C3"/>
    <mergeCell ref="B4:C4"/>
    <mergeCell ref="B6: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10"/>
    <col collapsed="false" customWidth="true" hidden="false" outlineLevel="0" max="5" min="5" style="0" width="35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36" hidden="false" customHeight="true" outlineLevel="0" collapsed="false">
      <c r="A1" s="8" t="s">
        <v>19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9.5" hidden="false" customHeight="true" outlineLevel="0" collapsed="false">
      <c r="A2" s="9" t="s">
        <v>20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6" hidden="false" customHeight="true" outlineLevel="0" collapsed="false">
      <c r="A4" s="10" t="s">
        <v>21</v>
      </c>
      <c r="B4" s="10" t="s">
        <v>22</v>
      </c>
      <c r="C4" s="10" t="s">
        <v>23</v>
      </c>
      <c r="D4" s="10" t="s">
        <v>24</v>
      </c>
      <c r="E4" s="10" t="s">
        <v>25</v>
      </c>
      <c r="F4" s="10" t="s">
        <v>26</v>
      </c>
      <c r="G4" s="10" t="s">
        <v>27</v>
      </c>
      <c r="H4" s="10" t="s">
        <v>28</v>
      </c>
      <c r="I4" s="10" t="s">
        <v>29</v>
      </c>
      <c r="J4" s="10" t="s">
        <v>30</v>
      </c>
    </row>
    <row r="5" customFormat="false" ht="24" hidden="false" customHeight="true" outlineLevel="0" collapsed="false">
      <c r="A5" s="11" t="s">
        <v>31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42" hidden="false" customHeight="true" outlineLevel="0" collapsed="false">
      <c r="A6" s="12" t="s">
        <v>32</v>
      </c>
      <c r="B6" s="13" t="s">
        <v>33</v>
      </c>
      <c r="C6" s="13" t="s">
        <v>34</v>
      </c>
      <c r="D6" s="13" t="s">
        <v>35</v>
      </c>
      <c r="E6" s="13" t="s">
        <v>36</v>
      </c>
      <c r="F6" s="13" t="s">
        <v>37</v>
      </c>
      <c r="G6" s="14" t="s">
        <v>38</v>
      </c>
      <c r="H6" s="13"/>
      <c r="I6" s="13" t="s">
        <v>39</v>
      </c>
      <c r="J6" s="13"/>
    </row>
    <row r="7" customFormat="false" ht="42" hidden="false" customHeight="true" outlineLevel="0" collapsed="false">
      <c r="A7" s="12" t="s">
        <v>40</v>
      </c>
      <c r="B7" s="15" t="s">
        <v>33</v>
      </c>
      <c r="C7" s="15" t="s">
        <v>41</v>
      </c>
      <c r="D7" s="15" t="s">
        <v>35</v>
      </c>
      <c r="E7" s="15" t="s">
        <v>42</v>
      </c>
      <c r="F7" s="15" t="s">
        <v>37</v>
      </c>
      <c r="G7" s="16" t="s">
        <v>43</v>
      </c>
      <c r="H7" s="15"/>
      <c r="I7" s="15" t="s">
        <v>44</v>
      </c>
      <c r="J7" s="15"/>
    </row>
    <row r="8" customFormat="false" ht="42" hidden="false" customHeight="true" outlineLevel="0" collapsed="false">
      <c r="A8" s="12" t="s">
        <v>45</v>
      </c>
      <c r="B8" s="13" t="s">
        <v>46</v>
      </c>
      <c r="C8" s="13" t="s">
        <v>47</v>
      </c>
      <c r="D8" s="13" t="s">
        <v>35</v>
      </c>
      <c r="E8" s="13" t="s">
        <v>48</v>
      </c>
      <c r="F8" s="13" t="s">
        <v>49</v>
      </c>
      <c r="G8" s="14" t="s">
        <v>38</v>
      </c>
      <c r="H8" s="13"/>
      <c r="I8" s="13" t="s">
        <v>50</v>
      </c>
      <c r="J8" s="13"/>
    </row>
    <row r="9" customFormat="false" ht="42" hidden="false" customHeight="true" outlineLevel="0" collapsed="false">
      <c r="A9" s="12" t="s">
        <v>51</v>
      </c>
      <c r="B9" s="15" t="s">
        <v>46</v>
      </c>
      <c r="C9" s="15" t="s">
        <v>52</v>
      </c>
      <c r="D9" s="15" t="s">
        <v>35</v>
      </c>
      <c r="E9" s="15" t="s">
        <v>53</v>
      </c>
      <c r="F9" s="15" t="s">
        <v>54</v>
      </c>
      <c r="G9" s="14" t="s">
        <v>38</v>
      </c>
      <c r="H9" s="15"/>
      <c r="I9" s="15" t="s">
        <v>55</v>
      </c>
      <c r="J9" s="15"/>
    </row>
    <row r="10" customFormat="false" ht="42" hidden="false" customHeight="true" outlineLevel="0" collapsed="false">
      <c r="A10" s="12" t="s">
        <v>56</v>
      </c>
      <c r="B10" s="13" t="s">
        <v>57</v>
      </c>
      <c r="C10" s="13" t="s">
        <v>58</v>
      </c>
      <c r="D10" s="13" t="s">
        <v>35</v>
      </c>
      <c r="E10" s="13" t="s">
        <v>59</v>
      </c>
      <c r="F10" s="13" t="s">
        <v>37</v>
      </c>
      <c r="G10" s="16" t="s">
        <v>43</v>
      </c>
      <c r="H10" s="13"/>
      <c r="I10" s="13" t="s">
        <v>60</v>
      </c>
      <c r="J10" s="13"/>
    </row>
    <row r="11" customFormat="false" ht="42" hidden="false" customHeight="true" outlineLevel="0" collapsed="false">
      <c r="A11" s="12" t="s">
        <v>61</v>
      </c>
      <c r="B11" s="15" t="s">
        <v>57</v>
      </c>
      <c r="C11" s="15" t="s">
        <v>62</v>
      </c>
      <c r="D11" s="15" t="s">
        <v>35</v>
      </c>
      <c r="E11" s="15" t="s">
        <v>63</v>
      </c>
      <c r="F11" s="15" t="s">
        <v>49</v>
      </c>
      <c r="G11" s="16" t="s">
        <v>43</v>
      </c>
      <c r="H11" s="15"/>
      <c r="I11" s="15" t="s">
        <v>64</v>
      </c>
      <c r="J11" s="15"/>
    </row>
    <row r="12" customFormat="false" ht="42" hidden="false" customHeight="true" outlineLevel="0" collapsed="false">
      <c r="A12" s="12" t="s">
        <v>65</v>
      </c>
      <c r="B12" s="13" t="s">
        <v>66</v>
      </c>
      <c r="C12" s="13" t="s">
        <v>67</v>
      </c>
      <c r="D12" s="13" t="s">
        <v>35</v>
      </c>
      <c r="E12" s="13" t="s">
        <v>68</v>
      </c>
      <c r="F12" s="13" t="s">
        <v>37</v>
      </c>
      <c r="G12" s="16" t="s">
        <v>43</v>
      </c>
      <c r="H12" s="13"/>
      <c r="I12" s="13" t="s">
        <v>39</v>
      </c>
      <c r="J12" s="13"/>
    </row>
    <row r="13" customFormat="false" ht="24" hidden="false" customHeight="true" outlineLevel="0" collapsed="false">
      <c r="A13" s="17" t="s">
        <v>69</v>
      </c>
      <c r="B13" s="17"/>
      <c r="C13" s="17"/>
      <c r="D13" s="17"/>
      <c r="E13" s="17"/>
      <c r="F13" s="17"/>
      <c r="G13" s="17"/>
      <c r="H13" s="17"/>
      <c r="I13" s="17"/>
      <c r="J13" s="17"/>
    </row>
    <row r="14" customFormat="false" ht="42" hidden="false" customHeight="true" outlineLevel="0" collapsed="false">
      <c r="A14" s="12" t="s">
        <v>70</v>
      </c>
      <c r="B14" s="13" t="s">
        <v>71</v>
      </c>
      <c r="C14" s="13" t="s">
        <v>72</v>
      </c>
      <c r="D14" s="13" t="s">
        <v>73</v>
      </c>
      <c r="E14" s="13" t="s">
        <v>74</v>
      </c>
      <c r="F14" s="13" t="s">
        <v>37</v>
      </c>
      <c r="G14" s="14" t="s">
        <v>38</v>
      </c>
      <c r="H14" s="13"/>
      <c r="I14" s="13" t="s">
        <v>44</v>
      </c>
      <c r="J14" s="13"/>
    </row>
    <row r="15" customFormat="false" ht="42" hidden="false" customHeight="true" outlineLevel="0" collapsed="false">
      <c r="A15" s="12" t="s">
        <v>75</v>
      </c>
      <c r="B15" s="15" t="s">
        <v>71</v>
      </c>
      <c r="C15" s="15" t="s">
        <v>76</v>
      </c>
      <c r="D15" s="15" t="s">
        <v>73</v>
      </c>
      <c r="E15" s="15" t="s">
        <v>77</v>
      </c>
      <c r="F15" s="15" t="s">
        <v>78</v>
      </c>
      <c r="G15" s="14" t="s">
        <v>38</v>
      </c>
      <c r="H15" s="15"/>
      <c r="I15" s="15" t="s">
        <v>79</v>
      </c>
      <c r="J15" s="15"/>
    </row>
    <row r="16" customFormat="false" ht="42" hidden="false" customHeight="true" outlineLevel="0" collapsed="false">
      <c r="A16" s="12" t="s">
        <v>80</v>
      </c>
      <c r="B16" s="13" t="s">
        <v>81</v>
      </c>
      <c r="C16" s="13" t="s">
        <v>82</v>
      </c>
      <c r="D16" s="13" t="s">
        <v>73</v>
      </c>
      <c r="E16" s="13" t="s">
        <v>83</v>
      </c>
      <c r="F16" s="13" t="s">
        <v>84</v>
      </c>
      <c r="G16" s="14" t="s">
        <v>38</v>
      </c>
      <c r="H16" s="13"/>
      <c r="I16" s="13" t="s">
        <v>85</v>
      </c>
      <c r="J16" s="13"/>
    </row>
    <row r="17" customFormat="false" ht="42" hidden="false" customHeight="true" outlineLevel="0" collapsed="false">
      <c r="A17" s="12" t="s">
        <v>86</v>
      </c>
      <c r="B17" s="15" t="s">
        <v>81</v>
      </c>
      <c r="C17" s="15" t="s">
        <v>87</v>
      </c>
      <c r="D17" s="15" t="s">
        <v>73</v>
      </c>
      <c r="E17" s="15" t="s">
        <v>88</v>
      </c>
      <c r="F17" s="15" t="s">
        <v>49</v>
      </c>
      <c r="G17" s="16" t="s">
        <v>43</v>
      </c>
      <c r="H17" s="15"/>
      <c r="I17" s="15" t="s">
        <v>39</v>
      </c>
      <c r="J17" s="15"/>
    </row>
    <row r="18" customFormat="false" ht="42" hidden="false" customHeight="true" outlineLevel="0" collapsed="false">
      <c r="A18" s="12" t="s">
        <v>89</v>
      </c>
      <c r="B18" s="13" t="s">
        <v>90</v>
      </c>
      <c r="C18" s="13" t="s">
        <v>91</v>
      </c>
      <c r="D18" s="13" t="s">
        <v>73</v>
      </c>
      <c r="E18" s="13" t="s">
        <v>92</v>
      </c>
      <c r="F18" s="13" t="s">
        <v>37</v>
      </c>
      <c r="G18" s="16" t="s">
        <v>43</v>
      </c>
      <c r="H18" s="13"/>
      <c r="I18" s="13" t="s">
        <v>93</v>
      </c>
      <c r="J18" s="13"/>
    </row>
    <row r="19" customFormat="false" ht="42" hidden="false" customHeight="true" outlineLevel="0" collapsed="false">
      <c r="A19" s="12" t="s">
        <v>94</v>
      </c>
      <c r="B19" s="15" t="s">
        <v>90</v>
      </c>
      <c r="C19" s="15" t="s">
        <v>95</v>
      </c>
      <c r="D19" s="15" t="s">
        <v>73</v>
      </c>
      <c r="E19" s="15" t="s">
        <v>96</v>
      </c>
      <c r="F19" s="15" t="s">
        <v>97</v>
      </c>
      <c r="G19" s="14" t="s">
        <v>38</v>
      </c>
      <c r="H19" s="15"/>
      <c r="I19" s="15" t="s">
        <v>39</v>
      </c>
      <c r="J19" s="15"/>
    </row>
    <row r="20" customFormat="false" ht="42" hidden="false" customHeight="true" outlineLevel="0" collapsed="false">
      <c r="A20" s="12" t="s">
        <v>98</v>
      </c>
      <c r="B20" s="13" t="s">
        <v>99</v>
      </c>
      <c r="C20" s="13" t="s">
        <v>100</v>
      </c>
      <c r="D20" s="13" t="s">
        <v>73</v>
      </c>
      <c r="E20" s="13" t="s">
        <v>101</v>
      </c>
      <c r="F20" s="13" t="s">
        <v>84</v>
      </c>
      <c r="G20" s="18" t="s">
        <v>102</v>
      </c>
      <c r="H20" s="13"/>
      <c r="I20" s="13" t="s">
        <v>103</v>
      </c>
      <c r="J20" s="13"/>
    </row>
  </sheetData>
  <mergeCells count="4">
    <mergeCell ref="A1:J1"/>
    <mergeCell ref="A2:J2"/>
    <mergeCell ref="A5:J5"/>
    <mergeCell ref="A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28"/>
    <col collapsed="false" customWidth="true" hidden="false" outlineLevel="0" max="10" min="9" style="0" width="18"/>
  </cols>
  <sheetData>
    <row r="1" customFormat="false" ht="36" hidden="false" customHeight="true" outlineLevel="0" collapsed="false">
      <c r="A1" s="8" t="s">
        <v>104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9.5" hidden="false" customHeight="true" outlineLevel="0" collapsed="false">
      <c r="A2" s="9" t="s">
        <v>105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6" hidden="false" customHeight="true" outlineLevel="0" collapsed="false">
      <c r="A4" s="10" t="s">
        <v>21</v>
      </c>
      <c r="B4" s="10" t="s">
        <v>106</v>
      </c>
      <c r="C4" s="10" t="s">
        <v>107</v>
      </c>
      <c r="D4" s="10" t="s">
        <v>108</v>
      </c>
      <c r="E4" s="10" t="s">
        <v>109</v>
      </c>
      <c r="F4" s="10" t="s">
        <v>110</v>
      </c>
      <c r="G4" s="10" t="s">
        <v>111</v>
      </c>
      <c r="H4" s="10" t="s">
        <v>112</v>
      </c>
      <c r="I4" s="10" t="s">
        <v>113</v>
      </c>
      <c r="J4" s="10" t="s">
        <v>29</v>
      </c>
    </row>
    <row r="5" customFormat="false" ht="48" hidden="false" customHeight="true" outlineLevel="0" collapsed="false">
      <c r="A5" s="19" t="s">
        <v>114</v>
      </c>
      <c r="B5" s="15" t="s">
        <v>115</v>
      </c>
      <c r="C5" s="15" t="s">
        <v>116</v>
      </c>
      <c r="D5" s="15" t="s">
        <v>117</v>
      </c>
      <c r="E5" s="15" t="s">
        <v>84</v>
      </c>
      <c r="F5" s="14" t="s">
        <v>38</v>
      </c>
      <c r="G5" s="14" t="s">
        <v>38</v>
      </c>
      <c r="H5" s="15" t="s">
        <v>118</v>
      </c>
      <c r="I5" s="15" t="s">
        <v>119</v>
      </c>
      <c r="J5" s="15" t="s">
        <v>85</v>
      </c>
    </row>
    <row r="6" customFormat="false" ht="48" hidden="false" customHeight="true" outlineLevel="0" collapsed="false">
      <c r="A6" s="19" t="s">
        <v>120</v>
      </c>
      <c r="B6" s="13" t="s">
        <v>121</v>
      </c>
      <c r="C6" s="13" t="s">
        <v>122</v>
      </c>
      <c r="D6" s="13" t="s">
        <v>123</v>
      </c>
      <c r="E6" s="13" t="s">
        <v>124</v>
      </c>
      <c r="F6" s="14" t="s">
        <v>38</v>
      </c>
      <c r="G6" s="14" t="s">
        <v>38</v>
      </c>
      <c r="H6" s="13" t="s">
        <v>125</v>
      </c>
      <c r="I6" s="13" t="s">
        <v>126</v>
      </c>
      <c r="J6" s="13" t="s">
        <v>60</v>
      </c>
    </row>
    <row r="7" customFormat="false" ht="48" hidden="false" customHeight="true" outlineLevel="0" collapsed="false">
      <c r="A7" s="19" t="s">
        <v>127</v>
      </c>
      <c r="B7" s="15" t="s">
        <v>128</v>
      </c>
      <c r="C7" s="15" t="s">
        <v>129</v>
      </c>
      <c r="D7" s="15" t="s">
        <v>130</v>
      </c>
      <c r="E7" s="15" t="s">
        <v>37</v>
      </c>
      <c r="F7" s="14" t="s">
        <v>38</v>
      </c>
      <c r="G7" s="14" t="s">
        <v>38</v>
      </c>
      <c r="H7" s="15" t="s">
        <v>131</v>
      </c>
      <c r="I7" s="15" t="s">
        <v>126</v>
      </c>
      <c r="J7" s="15" t="s">
        <v>132</v>
      </c>
    </row>
    <row r="8" customFormat="false" ht="48" hidden="false" customHeight="true" outlineLevel="0" collapsed="false">
      <c r="A8" s="19" t="s">
        <v>133</v>
      </c>
      <c r="B8" s="13" t="s">
        <v>134</v>
      </c>
      <c r="C8" s="13" t="s">
        <v>135</v>
      </c>
      <c r="D8" s="13" t="s">
        <v>136</v>
      </c>
      <c r="E8" s="13" t="s">
        <v>37</v>
      </c>
      <c r="F8" s="14" t="s">
        <v>38</v>
      </c>
      <c r="G8" s="16" t="s">
        <v>43</v>
      </c>
      <c r="H8" s="13" t="s">
        <v>137</v>
      </c>
      <c r="I8" s="13" t="s">
        <v>126</v>
      </c>
      <c r="J8" s="13" t="s">
        <v>44</v>
      </c>
    </row>
    <row r="9" customFormat="false" ht="48" hidden="false" customHeight="true" outlineLevel="0" collapsed="false">
      <c r="A9" s="19" t="s">
        <v>138</v>
      </c>
      <c r="B9" s="15" t="s">
        <v>139</v>
      </c>
      <c r="C9" s="15" t="s">
        <v>140</v>
      </c>
      <c r="D9" s="15" t="s">
        <v>141</v>
      </c>
      <c r="E9" s="15" t="s">
        <v>49</v>
      </c>
      <c r="F9" s="16" t="s">
        <v>43</v>
      </c>
      <c r="G9" s="16" t="s">
        <v>43</v>
      </c>
      <c r="H9" s="15" t="s">
        <v>142</v>
      </c>
      <c r="I9" s="15" t="s">
        <v>126</v>
      </c>
      <c r="J9" s="15" t="s">
        <v>93</v>
      </c>
    </row>
    <row r="10" customFormat="false" ht="48" hidden="false" customHeight="true" outlineLevel="0" collapsed="false">
      <c r="A10" s="19" t="s">
        <v>143</v>
      </c>
      <c r="B10" s="13" t="s">
        <v>144</v>
      </c>
      <c r="C10" s="13" t="s">
        <v>145</v>
      </c>
      <c r="D10" s="13" t="s">
        <v>146</v>
      </c>
      <c r="E10" s="13" t="s">
        <v>78</v>
      </c>
      <c r="F10" s="16" t="s">
        <v>43</v>
      </c>
      <c r="G10" s="16" t="s">
        <v>43</v>
      </c>
      <c r="H10" s="13" t="s">
        <v>147</v>
      </c>
      <c r="I10" s="13" t="s">
        <v>126</v>
      </c>
      <c r="J10" s="13" t="s">
        <v>39</v>
      </c>
    </row>
    <row r="11" customFormat="false" ht="48" hidden="false" customHeight="true" outlineLevel="0" collapsed="false">
      <c r="A11" s="19" t="s">
        <v>148</v>
      </c>
      <c r="B11" s="15" t="s">
        <v>149</v>
      </c>
      <c r="C11" s="15" t="s">
        <v>150</v>
      </c>
      <c r="D11" s="15" t="s">
        <v>151</v>
      </c>
      <c r="E11" s="15" t="s">
        <v>97</v>
      </c>
      <c r="F11" s="18" t="s">
        <v>102</v>
      </c>
      <c r="G11" s="14" t="s">
        <v>38</v>
      </c>
      <c r="H11" s="15" t="s">
        <v>152</v>
      </c>
      <c r="I11" s="15" t="s">
        <v>126</v>
      </c>
      <c r="J11" s="15" t="s">
        <v>55</v>
      </c>
    </row>
    <row r="12" customFormat="false" ht="48" hidden="false" customHeight="true" outlineLevel="0" collapsed="false">
      <c r="A12" s="19" t="s">
        <v>153</v>
      </c>
      <c r="B12" s="13" t="s">
        <v>154</v>
      </c>
      <c r="C12" s="13" t="s">
        <v>155</v>
      </c>
      <c r="D12" s="13" t="s">
        <v>156</v>
      </c>
      <c r="E12" s="13" t="s">
        <v>124</v>
      </c>
      <c r="F12" s="16" t="s">
        <v>43</v>
      </c>
      <c r="G12" s="16" t="s">
        <v>43</v>
      </c>
      <c r="H12" s="13" t="s">
        <v>157</v>
      </c>
      <c r="I12" s="13" t="s">
        <v>126</v>
      </c>
      <c r="J12" s="13" t="s">
        <v>158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9" min="7" style="0" width="10"/>
    <col collapsed="false" customWidth="true" hidden="false" outlineLevel="0" max="10" min="10" style="0" width="35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3" min="13" style="0" width="14"/>
  </cols>
  <sheetData>
    <row r="1" customFormat="false" ht="36" hidden="false" customHeight="true" outlineLevel="0" collapsed="false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19.5" hidden="false" customHeight="true" outlineLevel="0" collapsed="false">
      <c r="A2" s="9" t="s">
        <v>160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8" hidden="false" customHeight="true" outlineLevel="0" collapsed="false">
      <c r="A3" s="20" t="s">
        <v>161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customFormat="false" ht="42" hidden="false" customHeight="true" outlineLevel="0" collapsed="false">
      <c r="A4" s="10" t="s">
        <v>21</v>
      </c>
      <c r="B4" s="10" t="s">
        <v>22</v>
      </c>
      <c r="C4" s="10" t="s">
        <v>162</v>
      </c>
      <c r="D4" s="10" t="s">
        <v>163</v>
      </c>
      <c r="E4" s="10" t="s">
        <v>26</v>
      </c>
      <c r="F4" s="10" t="s">
        <v>164</v>
      </c>
      <c r="G4" s="10" t="s">
        <v>165</v>
      </c>
      <c r="H4" s="10" t="s">
        <v>166</v>
      </c>
      <c r="I4" s="10" t="s">
        <v>167</v>
      </c>
      <c r="J4" s="10" t="s">
        <v>168</v>
      </c>
      <c r="K4" s="10" t="s">
        <v>29</v>
      </c>
      <c r="L4" s="10" t="s">
        <v>169</v>
      </c>
      <c r="M4" s="10" t="s">
        <v>170</v>
      </c>
    </row>
    <row r="5" customFormat="false" ht="42" hidden="false" customHeight="true" outlineLevel="0" collapsed="false">
      <c r="A5" s="14" t="s">
        <v>171</v>
      </c>
      <c r="B5" s="15" t="s">
        <v>172</v>
      </c>
      <c r="C5" s="15" t="s">
        <v>173</v>
      </c>
      <c r="D5" s="14" t="s">
        <v>174</v>
      </c>
      <c r="E5" s="15" t="s">
        <v>84</v>
      </c>
      <c r="F5" s="21" t="n">
        <v>3</v>
      </c>
      <c r="G5" s="21" t="n">
        <v>4</v>
      </c>
      <c r="H5" s="22" t="n">
        <f aca="false">F5*G5</f>
        <v>12</v>
      </c>
      <c r="I5" s="23" t="str">
        <f aca="false">IF(F5*G5&gt;=16,"HIGH",IF(F5*G5&gt;=9,"MEDIUM","LOW"))</f>
        <v>MEDIUM</v>
      </c>
      <c r="J5" s="15" t="s">
        <v>175</v>
      </c>
      <c r="K5" s="15" t="s">
        <v>44</v>
      </c>
      <c r="L5" s="15" t="s">
        <v>176</v>
      </c>
      <c r="M5" s="15"/>
    </row>
    <row r="6" customFormat="false" ht="42" hidden="false" customHeight="true" outlineLevel="0" collapsed="false">
      <c r="A6" s="14" t="s">
        <v>177</v>
      </c>
      <c r="B6" s="13" t="s">
        <v>172</v>
      </c>
      <c r="C6" s="13" t="s">
        <v>178</v>
      </c>
      <c r="D6" s="14" t="s">
        <v>174</v>
      </c>
      <c r="E6" s="13" t="s">
        <v>84</v>
      </c>
      <c r="F6" s="24" t="n">
        <v>3</v>
      </c>
      <c r="G6" s="24" t="n">
        <v>4</v>
      </c>
      <c r="H6" s="25" t="n">
        <f aca="false">F6*G6</f>
        <v>12</v>
      </c>
      <c r="I6" s="26" t="str">
        <f aca="false">IF(F6*G6&gt;=16,"HIGH",IF(F6*G6&gt;=9,"MEDIUM","LOW"))</f>
        <v>MEDIUM</v>
      </c>
      <c r="J6" s="13" t="s">
        <v>179</v>
      </c>
      <c r="K6" s="13" t="s">
        <v>93</v>
      </c>
      <c r="L6" s="13" t="s">
        <v>176</v>
      </c>
      <c r="M6" s="13"/>
    </row>
    <row r="7" customFormat="false" ht="42" hidden="false" customHeight="true" outlineLevel="0" collapsed="false">
      <c r="A7" s="14" t="s">
        <v>180</v>
      </c>
      <c r="B7" s="15" t="s">
        <v>149</v>
      </c>
      <c r="C7" s="15" t="s">
        <v>181</v>
      </c>
      <c r="D7" s="14" t="s">
        <v>174</v>
      </c>
      <c r="E7" s="15" t="s">
        <v>97</v>
      </c>
      <c r="F7" s="21" t="n">
        <v>2</v>
      </c>
      <c r="G7" s="21" t="n">
        <v>5</v>
      </c>
      <c r="H7" s="22" t="n">
        <f aca="false">F7*G7</f>
        <v>10</v>
      </c>
      <c r="I7" s="23" t="str">
        <f aca="false">IF(F7*G7&gt;=16,"HIGH",IF(F7*G7&gt;=9,"MEDIUM","LOW"))</f>
        <v>MEDIUM</v>
      </c>
      <c r="J7" s="15" t="s">
        <v>182</v>
      </c>
      <c r="K7" s="15" t="s">
        <v>55</v>
      </c>
      <c r="L7" s="15" t="s">
        <v>183</v>
      </c>
      <c r="M7" s="15"/>
    </row>
    <row r="8" customFormat="false" ht="42" hidden="false" customHeight="true" outlineLevel="0" collapsed="false">
      <c r="A8" s="14" t="s">
        <v>184</v>
      </c>
      <c r="B8" s="13" t="s">
        <v>149</v>
      </c>
      <c r="C8" s="13" t="s">
        <v>185</v>
      </c>
      <c r="D8" s="14" t="s">
        <v>174</v>
      </c>
      <c r="E8" s="13" t="s">
        <v>97</v>
      </c>
      <c r="F8" s="24" t="n">
        <v>2</v>
      </c>
      <c r="G8" s="24" t="n">
        <v>4</v>
      </c>
      <c r="H8" s="25" t="n">
        <f aca="false">F8*G8</f>
        <v>8</v>
      </c>
      <c r="I8" s="26" t="str">
        <f aca="false">IF(F8*G8&gt;=16,"HIGH",IF(F8*G8&gt;=9,"MEDIUM","LOW"))</f>
        <v>LOW</v>
      </c>
      <c r="J8" s="13" t="s">
        <v>186</v>
      </c>
      <c r="K8" s="13" t="s">
        <v>55</v>
      </c>
      <c r="L8" s="13" t="s">
        <v>187</v>
      </c>
      <c r="M8" s="13"/>
    </row>
    <row r="9" customFormat="false" ht="42" hidden="false" customHeight="true" outlineLevel="0" collapsed="false">
      <c r="A9" s="14" t="s">
        <v>188</v>
      </c>
      <c r="B9" s="15" t="s">
        <v>189</v>
      </c>
      <c r="C9" s="15" t="s">
        <v>190</v>
      </c>
      <c r="D9" s="14" t="s">
        <v>174</v>
      </c>
      <c r="E9" s="15" t="s">
        <v>54</v>
      </c>
      <c r="F9" s="21" t="n">
        <v>3</v>
      </c>
      <c r="G9" s="21" t="n">
        <v>5</v>
      </c>
      <c r="H9" s="22" t="n">
        <f aca="false">F9*G9</f>
        <v>15</v>
      </c>
      <c r="I9" s="23" t="str">
        <f aca="false">IF(F9*G9&gt;=16,"HIGH",IF(F9*G9&gt;=9,"MEDIUM","LOW"))</f>
        <v>MEDIUM</v>
      </c>
      <c r="J9" s="15" t="s">
        <v>191</v>
      </c>
      <c r="K9" s="15" t="s">
        <v>55</v>
      </c>
      <c r="L9" s="15" t="s">
        <v>183</v>
      </c>
      <c r="M9" s="15"/>
    </row>
    <row r="10" customFormat="false" ht="42" hidden="false" customHeight="true" outlineLevel="0" collapsed="false">
      <c r="A10" s="14" t="s">
        <v>192</v>
      </c>
      <c r="B10" s="13" t="s">
        <v>189</v>
      </c>
      <c r="C10" s="13" t="s">
        <v>193</v>
      </c>
      <c r="D10" s="14" t="s">
        <v>174</v>
      </c>
      <c r="E10" s="13" t="s">
        <v>54</v>
      </c>
      <c r="F10" s="24" t="n">
        <v>3</v>
      </c>
      <c r="G10" s="24" t="n">
        <v>3</v>
      </c>
      <c r="H10" s="25" t="n">
        <f aca="false">F10*G10</f>
        <v>9</v>
      </c>
      <c r="I10" s="26" t="str">
        <f aca="false">IF(F10*G10&gt;=16,"HIGH",IF(F10*G10&gt;=9,"MEDIUM","LOW"))</f>
        <v>MEDIUM</v>
      </c>
      <c r="J10" s="13" t="s">
        <v>194</v>
      </c>
      <c r="K10" s="13" t="s">
        <v>60</v>
      </c>
      <c r="L10" s="13" t="s">
        <v>176</v>
      </c>
      <c r="M10" s="13"/>
    </row>
    <row r="11" customFormat="false" ht="42" hidden="false" customHeight="true" outlineLevel="0" collapsed="false">
      <c r="A11" s="14" t="s">
        <v>195</v>
      </c>
      <c r="B11" s="15" t="s">
        <v>196</v>
      </c>
      <c r="C11" s="15" t="s">
        <v>197</v>
      </c>
      <c r="D11" s="14" t="s">
        <v>174</v>
      </c>
      <c r="E11" s="15" t="s">
        <v>49</v>
      </c>
      <c r="F11" s="21" t="n">
        <v>4</v>
      </c>
      <c r="G11" s="21" t="n">
        <v>4</v>
      </c>
      <c r="H11" s="22" t="n">
        <f aca="false">F11*G11</f>
        <v>16</v>
      </c>
      <c r="I11" s="23" t="str">
        <f aca="false">IF(F11*G11&gt;=16,"HIGH",IF(F11*G11&gt;=9,"MEDIUM","LOW"))</f>
        <v>HIGH</v>
      </c>
      <c r="J11" s="15" t="s">
        <v>198</v>
      </c>
      <c r="K11" s="15" t="s">
        <v>44</v>
      </c>
      <c r="L11" s="15" t="s">
        <v>199</v>
      </c>
      <c r="M11" s="15"/>
    </row>
    <row r="12" customFormat="false" ht="42" hidden="false" customHeight="true" outlineLevel="0" collapsed="false">
      <c r="A12" s="14" t="s">
        <v>200</v>
      </c>
      <c r="B12" s="13" t="s">
        <v>201</v>
      </c>
      <c r="C12" s="13" t="s">
        <v>202</v>
      </c>
      <c r="D12" s="14" t="s">
        <v>174</v>
      </c>
      <c r="E12" s="13" t="s">
        <v>124</v>
      </c>
      <c r="F12" s="24" t="n">
        <v>3</v>
      </c>
      <c r="G12" s="24" t="n">
        <v>4</v>
      </c>
      <c r="H12" s="25" t="n">
        <f aca="false">F12*G12</f>
        <v>12</v>
      </c>
      <c r="I12" s="26" t="str">
        <f aca="false">IF(F12*G12&gt;=16,"HIGH",IF(F12*G12&gt;=9,"MEDIUM","LOW"))</f>
        <v>MEDIUM</v>
      </c>
      <c r="J12" s="13" t="s">
        <v>203</v>
      </c>
      <c r="K12" s="13" t="s">
        <v>60</v>
      </c>
      <c r="L12" s="13" t="s">
        <v>176</v>
      </c>
      <c r="M12" s="13"/>
    </row>
    <row r="13" customFormat="false" ht="42" hidden="false" customHeight="true" outlineLevel="0" collapsed="false">
      <c r="A13" s="18" t="s">
        <v>204</v>
      </c>
      <c r="B13" s="15" t="s">
        <v>172</v>
      </c>
      <c r="C13" s="15" t="s">
        <v>205</v>
      </c>
      <c r="D13" s="18" t="s">
        <v>206</v>
      </c>
      <c r="E13" s="15" t="s">
        <v>84</v>
      </c>
      <c r="F13" s="21" t="n">
        <v>4</v>
      </c>
      <c r="G13" s="21" t="n">
        <v>4</v>
      </c>
      <c r="H13" s="22" t="n">
        <f aca="false">F13*G13</f>
        <v>16</v>
      </c>
      <c r="I13" s="23" t="str">
        <f aca="false">IF(F13*G13&gt;=16,"HIGH",IF(F13*G13&gt;=9,"MEDIUM","LOW"))</f>
        <v>HIGH</v>
      </c>
      <c r="J13" s="15" t="s">
        <v>207</v>
      </c>
      <c r="K13" s="15" t="s">
        <v>85</v>
      </c>
      <c r="L13" s="15" t="s">
        <v>199</v>
      </c>
      <c r="M13" s="15"/>
    </row>
    <row r="14" customFormat="false" ht="42" hidden="false" customHeight="true" outlineLevel="0" collapsed="false">
      <c r="A14" s="18" t="s">
        <v>208</v>
      </c>
      <c r="B14" s="13" t="s">
        <v>149</v>
      </c>
      <c r="C14" s="13" t="s">
        <v>209</v>
      </c>
      <c r="D14" s="18" t="s">
        <v>206</v>
      </c>
      <c r="E14" s="13" t="s">
        <v>97</v>
      </c>
      <c r="F14" s="24" t="n">
        <v>4</v>
      </c>
      <c r="G14" s="24" t="n">
        <v>4</v>
      </c>
      <c r="H14" s="25" t="n">
        <f aca="false">F14*G14</f>
        <v>16</v>
      </c>
      <c r="I14" s="26" t="str">
        <f aca="false">IF(F14*G14&gt;=16,"HIGH",IF(F14*G14&gt;=9,"MEDIUM","LOW"))</f>
        <v>HIGH</v>
      </c>
      <c r="J14" s="13" t="s">
        <v>210</v>
      </c>
      <c r="K14" s="13" t="s">
        <v>39</v>
      </c>
      <c r="L14" s="13" t="s">
        <v>211</v>
      </c>
      <c r="M14" s="13"/>
    </row>
    <row r="15" customFormat="false" ht="42" hidden="false" customHeight="true" outlineLevel="0" collapsed="false">
      <c r="A15" s="18" t="s">
        <v>212</v>
      </c>
      <c r="B15" s="15" t="s">
        <v>189</v>
      </c>
      <c r="C15" s="15" t="s">
        <v>213</v>
      </c>
      <c r="D15" s="18" t="s">
        <v>206</v>
      </c>
      <c r="E15" s="15" t="s">
        <v>54</v>
      </c>
      <c r="F15" s="21" t="n">
        <v>4</v>
      </c>
      <c r="G15" s="21" t="n">
        <v>3</v>
      </c>
      <c r="H15" s="22" t="n">
        <f aca="false">F15*G15</f>
        <v>12</v>
      </c>
      <c r="I15" s="23" t="str">
        <f aca="false">IF(F15*G15&gt;=16,"HIGH",IF(F15*G15&gt;=9,"MEDIUM","LOW"))</f>
        <v>MEDIUM</v>
      </c>
      <c r="J15" s="15" t="s">
        <v>214</v>
      </c>
      <c r="K15" s="15" t="s">
        <v>215</v>
      </c>
      <c r="L15" s="15" t="s">
        <v>211</v>
      </c>
      <c r="M15" s="15"/>
    </row>
    <row r="16" customFormat="false" ht="42" hidden="false" customHeight="true" outlineLevel="0" collapsed="false">
      <c r="A16" s="18" t="s">
        <v>216</v>
      </c>
      <c r="B16" s="13" t="s">
        <v>217</v>
      </c>
      <c r="C16" s="13" t="s">
        <v>218</v>
      </c>
      <c r="D16" s="18" t="s">
        <v>206</v>
      </c>
      <c r="E16" s="13" t="s">
        <v>49</v>
      </c>
      <c r="F16" s="24" t="n">
        <v>5</v>
      </c>
      <c r="G16" s="24" t="n">
        <v>3</v>
      </c>
      <c r="H16" s="25" t="n">
        <f aca="false">F16*G16</f>
        <v>15</v>
      </c>
      <c r="I16" s="26" t="str">
        <f aca="false">IF(F16*G16&gt;=16,"HIGH",IF(F16*G16&gt;=9,"MEDIUM","LOW"))</f>
        <v>MEDIUM</v>
      </c>
      <c r="J16" s="13" t="s">
        <v>219</v>
      </c>
      <c r="K16" s="13" t="s">
        <v>44</v>
      </c>
      <c r="L16" s="13" t="s">
        <v>183</v>
      </c>
      <c r="M16" s="13"/>
    </row>
  </sheetData>
  <mergeCells count="3">
    <mergeCell ref="A1:M1"/>
    <mergeCell ref="A2:M2"/>
    <mergeCell ref="A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30"/>
    <col collapsed="false" customWidth="true" hidden="false" outlineLevel="0" max="12" min="12" style="0" width="14"/>
  </cols>
  <sheetData>
    <row r="1" customFormat="false" ht="36" hidden="false" customHeight="true" outlineLevel="0" collapsed="false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19.5" hidden="false" customHeight="true" outlineLevel="0" collapsed="false">
      <c r="A2" s="9" t="s">
        <v>221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customFormat="false" ht="42" hidden="false" customHeight="true" outlineLevel="0" collapsed="false">
      <c r="A4" s="10" t="s">
        <v>21</v>
      </c>
      <c r="B4" s="10" t="s">
        <v>222</v>
      </c>
      <c r="C4" s="10" t="s">
        <v>223</v>
      </c>
      <c r="D4" s="10" t="s">
        <v>224</v>
      </c>
      <c r="E4" s="10" t="s">
        <v>225</v>
      </c>
      <c r="F4" s="10" t="s">
        <v>226</v>
      </c>
      <c r="G4" s="10" t="s">
        <v>29</v>
      </c>
      <c r="H4" s="10" t="s">
        <v>227</v>
      </c>
      <c r="I4" s="10" t="s">
        <v>228</v>
      </c>
      <c r="J4" s="10" t="s">
        <v>229</v>
      </c>
      <c r="K4" s="10" t="s">
        <v>230</v>
      </c>
      <c r="L4" s="10" t="s">
        <v>231</v>
      </c>
    </row>
    <row r="5" customFormat="false" ht="48" hidden="false" customHeight="true" outlineLevel="0" collapsed="false">
      <c r="A5" s="27" t="s">
        <v>114</v>
      </c>
      <c r="B5" s="15" t="s">
        <v>232</v>
      </c>
      <c r="C5" s="15" t="s">
        <v>233</v>
      </c>
      <c r="D5" s="15" t="s">
        <v>37</v>
      </c>
      <c r="E5" s="15" t="s">
        <v>234</v>
      </c>
      <c r="F5" s="15" t="s">
        <v>235</v>
      </c>
      <c r="G5" s="15" t="s">
        <v>44</v>
      </c>
      <c r="H5" s="15" t="s">
        <v>236</v>
      </c>
      <c r="I5" s="15" t="s">
        <v>237</v>
      </c>
      <c r="J5" s="28" t="n">
        <v>0</v>
      </c>
      <c r="K5" s="15" t="s">
        <v>238</v>
      </c>
      <c r="L5" s="15"/>
    </row>
    <row r="6" customFormat="false" ht="48" hidden="false" customHeight="true" outlineLevel="0" collapsed="false">
      <c r="A6" s="27" t="s">
        <v>120</v>
      </c>
      <c r="B6" s="13" t="s">
        <v>239</v>
      </c>
      <c r="C6" s="13" t="s">
        <v>240</v>
      </c>
      <c r="D6" s="13" t="s">
        <v>37</v>
      </c>
      <c r="E6" s="13" t="s">
        <v>241</v>
      </c>
      <c r="F6" s="13" t="s">
        <v>242</v>
      </c>
      <c r="G6" s="13" t="s">
        <v>132</v>
      </c>
      <c r="H6" s="13" t="s">
        <v>236</v>
      </c>
      <c r="I6" s="13" t="s">
        <v>243</v>
      </c>
      <c r="J6" s="29" t="n">
        <v>0</v>
      </c>
      <c r="K6" s="13" t="s">
        <v>244</v>
      </c>
      <c r="L6" s="13"/>
    </row>
    <row r="7" customFormat="false" ht="48" hidden="false" customHeight="true" outlineLevel="0" collapsed="false">
      <c r="A7" s="27" t="s">
        <v>127</v>
      </c>
      <c r="B7" s="15" t="s">
        <v>245</v>
      </c>
      <c r="C7" s="15" t="s">
        <v>246</v>
      </c>
      <c r="D7" s="15" t="s">
        <v>37</v>
      </c>
      <c r="E7" s="15" t="s">
        <v>247</v>
      </c>
      <c r="F7" s="15" t="s">
        <v>248</v>
      </c>
      <c r="G7" s="15" t="s">
        <v>44</v>
      </c>
      <c r="H7" s="15" t="s">
        <v>237</v>
      </c>
      <c r="I7" s="15" t="s">
        <v>243</v>
      </c>
      <c r="J7" s="28" t="n">
        <v>0</v>
      </c>
      <c r="K7" s="15" t="s">
        <v>249</v>
      </c>
      <c r="L7" s="15"/>
    </row>
    <row r="8" customFormat="false" ht="48" hidden="false" customHeight="true" outlineLevel="0" collapsed="false">
      <c r="A8" s="27" t="s">
        <v>133</v>
      </c>
      <c r="B8" s="13" t="s">
        <v>250</v>
      </c>
      <c r="C8" s="13" t="s">
        <v>251</v>
      </c>
      <c r="D8" s="13" t="s">
        <v>37</v>
      </c>
      <c r="E8" s="13" t="s">
        <v>252</v>
      </c>
      <c r="F8" s="13" t="s">
        <v>253</v>
      </c>
      <c r="G8" s="13" t="s">
        <v>44</v>
      </c>
      <c r="H8" s="13" t="s">
        <v>236</v>
      </c>
      <c r="I8" s="13" t="s">
        <v>237</v>
      </c>
      <c r="J8" s="29" t="n">
        <v>0</v>
      </c>
      <c r="K8" s="13" t="s">
        <v>254</v>
      </c>
      <c r="L8" s="13"/>
    </row>
    <row r="9" customFormat="false" ht="48" hidden="false" customHeight="true" outlineLevel="0" collapsed="false">
      <c r="A9" s="27" t="s">
        <v>138</v>
      </c>
      <c r="B9" s="15" t="s">
        <v>255</v>
      </c>
      <c r="C9" s="15" t="s">
        <v>256</v>
      </c>
      <c r="D9" s="15" t="s">
        <v>37</v>
      </c>
      <c r="E9" s="15" t="s">
        <v>257</v>
      </c>
      <c r="F9" s="15" t="s">
        <v>258</v>
      </c>
      <c r="G9" s="15" t="s">
        <v>39</v>
      </c>
      <c r="H9" s="15" t="s">
        <v>237</v>
      </c>
      <c r="I9" s="15" t="s">
        <v>243</v>
      </c>
      <c r="J9" s="28" t="n">
        <v>0</v>
      </c>
      <c r="K9" s="15" t="s">
        <v>259</v>
      </c>
      <c r="L9" s="15"/>
    </row>
    <row r="10" customFormat="false" ht="48" hidden="false" customHeight="true" outlineLevel="0" collapsed="false">
      <c r="A10" s="27" t="s">
        <v>143</v>
      </c>
      <c r="B10" s="13" t="s">
        <v>260</v>
      </c>
      <c r="C10" s="13" t="s">
        <v>261</v>
      </c>
      <c r="D10" s="13" t="s">
        <v>37</v>
      </c>
      <c r="E10" s="13" t="s">
        <v>262</v>
      </c>
      <c r="F10" s="13" t="s">
        <v>263</v>
      </c>
      <c r="G10" s="13" t="s">
        <v>264</v>
      </c>
      <c r="H10" s="13" t="s">
        <v>236</v>
      </c>
      <c r="I10" s="13" t="s">
        <v>265</v>
      </c>
      <c r="J10" s="29" t="n">
        <v>0</v>
      </c>
      <c r="K10" s="13" t="s">
        <v>266</v>
      </c>
      <c r="L10" s="13"/>
    </row>
    <row r="11" customFormat="false" ht="48" hidden="false" customHeight="true" outlineLevel="0" collapsed="false">
      <c r="A11" s="27" t="s">
        <v>148</v>
      </c>
      <c r="B11" s="15" t="s">
        <v>267</v>
      </c>
      <c r="C11" s="15" t="s">
        <v>268</v>
      </c>
      <c r="D11" s="15" t="s">
        <v>37</v>
      </c>
      <c r="E11" s="15" t="s">
        <v>269</v>
      </c>
      <c r="F11" s="15" t="s">
        <v>270</v>
      </c>
      <c r="G11" s="15" t="s">
        <v>60</v>
      </c>
      <c r="H11" s="15" t="s">
        <v>237</v>
      </c>
      <c r="I11" s="15" t="s">
        <v>271</v>
      </c>
      <c r="J11" s="28" t="n">
        <v>0</v>
      </c>
      <c r="K11" s="15" t="s">
        <v>272</v>
      </c>
      <c r="L11" s="15"/>
    </row>
    <row r="12" customFormat="false" ht="48" hidden="false" customHeight="true" outlineLevel="0" collapsed="false">
      <c r="A12" s="27" t="s">
        <v>153</v>
      </c>
      <c r="B12" s="13" t="s">
        <v>273</v>
      </c>
      <c r="C12" s="13" t="s">
        <v>274</v>
      </c>
      <c r="D12" s="13" t="s">
        <v>37</v>
      </c>
      <c r="E12" s="13" t="s">
        <v>275</v>
      </c>
      <c r="F12" s="13" t="s">
        <v>276</v>
      </c>
      <c r="G12" s="13" t="s">
        <v>44</v>
      </c>
      <c r="H12" s="13" t="s">
        <v>243</v>
      </c>
      <c r="I12" s="13" t="s">
        <v>265</v>
      </c>
      <c r="J12" s="29" t="n">
        <v>0</v>
      </c>
      <c r="K12" s="13" t="s">
        <v>277</v>
      </c>
      <c r="L12" s="13"/>
    </row>
    <row r="13" customFormat="false" ht="48" hidden="false" customHeight="true" outlineLevel="0" collapsed="false">
      <c r="A13" s="27" t="s">
        <v>278</v>
      </c>
      <c r="B13" s="15" t="s">
        <v>279</v>
      </c>
      <c r="C13" s="15" t="s">
        <v>280</v>
      </c>
      <c r="D13" s="15" t="s">
        <v>37</v>
      </c>
      <c r="E13" s="15" t="s">
        <v>281</v>
      </c>
      <c r="F13" s="15" t="s">
        <v>282</v>
      </c>
      <c r="G13" s="15" t="s">
        <v>44</v>
      </c>
      <c r="H13" s="15" t="s">
        <v>237</v>
      </c>
      <c r="I13" s="15" t="s">
        <v>265</v>
      </c>
      <c r="J13" s="28" t="n">
        <v>0</v>
      </c>
      <c r="K13" s="15" t="s">
        <v>283</v>
      </c>
      <c r="L13" s="15"/>
    </row>
    <row r="14" customFormat="false" ht="48" hidden="false" customHeight="true" outlineLevel="0" collapsed="false">
      <c r="A14" s="27" t="s">
        <v>284</v>
      </c>
      <c r="B14" s="13" t="s">
        <v>285</v>
      </c>
      <c r="C14" s="13" t="s">
        <v>286</v>
      </c>
      <c r="D14" s="13" t="s">
        <v>49</v>
      </c>
      <c r="E14" s="13" t="s">
        <v>287</v>
      </c>
      <c r="F14" s="13" t="s">
        <v>288</v>
      </c>
      <c r="G14" s="13" t="s">
        <v>50</v>
      </c>
      <c r="H14" s="13" t="s">
        <v>243</v>
      </c>
      <c r="I14" s="13" t="s">
        <v>289</v>
      </c>
      <c r="J14" s="29" t="n">
        <v>0</v>
      </c>
      <c r="K14" s="13" t="s">
        <v>290</v>
      </c>
      <c r="L14" s="13"/>
    </row>
    <row r="15" customFormat="false" ht="48" hidden="false" customHeight="true" outlineLevel="0" collapsed="false">
      <c r="A15" s="27" t="s">
        <v>291</v>
      </c>
      <c r="B15" s="15" t="s">
        <v>285</v>
      </c>
      <c r="C15" s="15" t="s">
        <v>292</v>
      </c>
      <c r="D15" s="15" t="s">
        <v>54</v>
      </c>
      <c r="E15" s="15" t="s">
        <v>293</v>
      </c>
      <c r="F15" s="15" t="s">
        <v>294</v>
      </c>
      <c r="G15" s="15" t="s">
        <v>55</v>
      </c>
      <c r="H15" s="15" t="s">
        <v>236</v>
      </c>
      <c r="I15" s="15" t="s">
        <v>265</v>
      </c>
      <c r="J15" s="28" t="n">
        <v>0</v>
      </c>
      <c r="K15" s="15" t="s">
        <v>295</v>
      </c>
      <c r="L15" s="15"/>
    </row>
    <row r="16" customFormat="false" ht="48" hidden="false" customHeight="true" outlineLevel="0" collapsed="false">
      <c r="A16" s="27" t="s">
        <v>296</v>
      </c>
      <c r="B16" s="13" t="s">
        <v>297</v>
      </c>
      <c r="C16" s="13" t="s">
        <v>298</v>
      </c>
      <c r="D16" s="13" t="s">
        <v>37</v>
      </c>
      <c r="E16" s="13" t="s">
        <v>299</v>
      </c>
      <c r="F16" s="13" t="s">
        <v>300</v>
      </c>
      <c r="G16" s="13" t="s">
        <v>44</v>
      </c>
      <c r="H16" s="13" t="s">
        <v>243</v>
      </c>
      <c r="I16" s="13" t="s">
        <v>271</v>
      </c>
      <c r="J16" s="29" t="n">
        <v>0</v>
      </c>
      <c r="K16" s="13" t="s">
        <v>301</v>
      </c>
      <c r="L16" s="13"/>
    </row>
    <row r="17" customFormat="false" ht="48" hidden="false" customHeight="true" outlineLevel="0" collapsed="false">
      <c r="A17" s="27" t="s">
        <v>302</v>
      </c>
      <c r="B17" s="15" t="s">
        <v>303</v>
      </c>
      <c r="C17" s="15" t="s">
        <v>304</v>
      </c>
      <c r="D17" s="15" t="s">
        <v>37</v>
      </c>
      <c r="E17" s="15" t="s">
        <v>305</v>
      </c>
      <c r="F17" s="15" t="s">
        <v>306</v>
      </c>
      <c r="G17" s="15" t="s">
        <v>307</v>
      </c>
      <c r="H17" s="15" t="s">
        <v>265</v>
      </c>
      <c r="I17" s="15" t="s">
        <v>308</v>
      </c>
      <c r="J17" s="28" t="n">
        <v>0</v>
      </c>
      <c r="K17" s="15" t="s">
        <v>309</v>
      </c>
      <c r="L17" s="15"/>
    </row>
    <row r="18" customFormat="false" ht="48" hidden="false" customHeight="true" outlineLevel="0" collapsed="false">
      <c r="A18" s="27" t="s">
        <v>310</v>
      </c>
      <c r="B18" s="13" t="s">
        <v>311</v>
      </c>
      <c r="C18" s="13" t="s">
        <v>312</v>
      </c>
      <c r="D18" s="13" t="s">
        <v>37</v>
      </c>
      <c r="E18" s="13" t="s">
        <v>313</v>
      </c>
      <c r="F18" s="13" t="s">
        <v>314</v>
      </c>
      <c r="G18" s="13" t="s">
        <v>132</v>
      </c>
      <c r="H18" s="13" t="s">
        <v>315</v>
      </c>
      <c r="I18" s="13" t="s">
        <v>316</v>
      </c>
      <c r="J18" s="29" t="n">
        <v>0</v>
      </c>
      <c r="K18" s="13" t="s">
        <v>244</v>
      </c>
      <c r="L18" s="13"/>
    </row>
    <row r="19" customFormat="false" ht="48" hidden="false" customHeight="true" outlineLevel="0" collapsed="false">
      <c r="A19" s="27" t="s">
        <v>317</v>
      </c>
      <c r="B19" s="15" t="s">
        <v>318</v>
      </c>
      <c r="C19" s="15" t="s">
        <v>319</v>
      </c>
      <c r="D19" s="15" t="s">
        <v>37</v>
      </c>
      <c r="E19" s="15" t="s">
        <v>320</v>
      </c>
      <c r="F19" s="15" t="s">
        <v>321</v>
      </c>
      <c r="G19" s="15" t="s">
        <v>44</v>
      </c>
      <c r="H19" s="15" t="s">
        <v>243</v>
      </c>
      <c r="I19" s="15" t="s">
        <v>271</v>
      </c>
      <c r="J19" s="28" t="n">
        <v>0</v>
      </c>
      <c r="K19" s="15" t="s">
        <v>322</v>
      </c>
      <c r="L19" s="15"/>
    </row>
    <row r="20" customFormat="false" ht="48" hidden="false" customHeight="true" outlineLevel="0" collapsed="false">
      <c r="A20" s="27" t="s">
        <v>323</v>
      </c>
      <c r="B20" s="13" t="s">
        <v>324</v>
      </c>
      <c r="C20" s="13" t="s">
        <v>325</v>
      </c>
      <c r="D20" s="13" t="s">
        <v>37</v>
      </c>
      <c r="E20" s="13" t="s">
        <v>326</v>
      </c>
      <c r="F20" s="13" t="s">
        <v>327</v>
      </c>
      <c r="G20" s="13" t="s">
        <v>39</v>
      </c>
      <c r="H20" s="13" t="s">
        <v>187</v>
      </c>
      <c r="I20" s="13" t="s">
        <v>316</v>
      </c>
      <c r="J20" s="29" t="n">
        <v>0</v>
      </c>
      <c r="K20" s="13" t="s">
        <v>328</v>
      </c>
      <c r="L20" s="13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10"/>
    <col collapsed="false" customWidth="true" hidden="false" outlineLevel="0" max="5" min="5" style="0" width="35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36" hidden="false" customHeight="true" outlineLevel="0" collapsed="false">
      <c r="A1" s="8" t="s">
        <v>329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9.5" hidden="false" customHeight="true" outlineLevel="0" collapsed="false">
      <c r="A2" s="9" t="s">
        <v>20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6" hidden="false" customHeight="true" outlineLevel="0" collapsed="false">
      <c r="A4" s="10" t="s">
        <v>330</v>
      </c>
      <c r="B4" s="10" t="s">
        <v>331</v>
      </c>
      <c r="C4" s="10" t="s">
        <v>332</v>
      </c>
      <c r="D4" s="10" t="s">
        <v>333</v>
      </c>
      <c r="E4" s="10" t="s">
        <v>334</v>
      </c>
      <c r="F4" s="10" t="s">
        <v>335</v>
      </c>
      <c r="G4" s="10" t="s">
        <v>336</v>
      </c>
      <c r="H4" s="10" t="s">
        <v>337</v>
      </c>
      <c r="I4" s="10" t="s">
        <v>338</v>
      </c>
      <c r="J4" s="10" t="s">
        <v>339</v>
      </c>
    </row>
    <row r="5" customFormat="false" ht="24" hidden="false" customHeight="true" outlineLevel="0" collapsed="false">
      <c r="A5" s="11" t="s">
        <v>340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42" hidden="false" customHeight="true" outlineLevel="0" collapsed="false">
      <c r="A6" s="12" t="s">
        <v>32</v>
      </c>
      <c r="B6" s="13" t="s">
        <v>341</v>
      </c>
      <c r="C6" s="13" t="s">
        <v>342</v>
      </c>
      <c r="D6" s="13" t="s">
        <v>343</v>
      </c>
      <c r="E6" s="13" t="s">
        <v>344</v>
      </c>
      <c r="F6" s="13" t="s">
        <v>37</v>
      </c>
      <c r="G6" s="14" t="s">
        <v>38</v>
      </c>
      <c r="H6" s="13"/>
      <c r="I6" s="13" t="s">
        <v>345</v>
      </c>
      <c r="J6" s="13"/>
    </row>
    <row r="7" customFormat="false" ht="42" hidden="false" customHeight="true" outlineLevel="0" collapsed="false">
      <c r="A7" s="12" t="s">
        <v>40</v>
      </c>
      <c r="B7" s="15" t="s">
        <v>341</v>
      </c>
      <c r="C7" s="15" t="s">
        <v>346</v>
      </c>
      <c r="D7" s="15" t="s">
        <v>343</v>
      </c>
      <c r="E7" s="15" t="s">
        <v>347</v>
      </c>
      <c r="F7" s="15" t="s">
        <v>37</v>
      </c>
      <c r="G7" s="16" t="s">
        <v>43</v>
      </c>
      <c r="H7" s="15"/>
      <c r="I7" s="15" t="s">
        <v>348</v>
      </c>
      <c r="J7" s="15"/>
    </row>
    <row r="8" customFormat="false" ht="42" hidden="false" customHeight="true" outlineLevel="0" collapsed="false">
      <c r="A8" s="12" t="s">
        <v>45</v>
      </c>
      <c r="B8" s="13" t="s">
        <v>349</v>
      </c>
      <c r="C8" s="13" t="s">
        <v>350</v>
      </c>
      <c r="D8" s="13" t="s">
        <v>343</v>
      </c>
      <c r="E8" s="13" t="s">
        <v>351</v>
      </c>
      <c r="F8" s="13" t="s">
        <v>49</v>
      </c>
      <c r="G8" s="14" t="s">
        <v>38</v>
      </c>
      <c r="H8" s="13"/>
      <c r="I8" s="13" t="s">
        <v>352</v>
      </c>
      <c r="J8" s="13"/>
    </row>
    <row r="9" customFormat="false" ht="42" hidden="false" customHeight="true" outlineLevel="0" collapsed="false">
      <c r="A9" s="12" t="s">
        <v>51</v>
      </c>
      <c r="B9" s="15" t="s">
        <v>349</v>
      </c>
      <c r="C9" s="15" t="s">
        <v>353</v>
      </c>
      <c r="D9" s="15" t="s">
        <v>343</v>
      </c>
      <c r="E9" s="15" t="s">
        <v>354</v>
      </c>
      <c r="F9" s="15" t="s">
        <v>54</v>
      </c>
      <c r="G9" s="14" t="s">
        <v>38</v>
      </c>
      <c r="H9" s="15"/>
      <c r="I9" s="15" t="s">
        <v>355</v>
      </c>
      <c r="J9" s="15"/>
    </row>
    <row r="10" customFormat="false" ht="42" hidden="false" customHeight="true" outlineLevel="0" collapsed="false">
      <c r="A10" s="12" t="s">
        <v>56</v>
      </c>
      <c r="B10" s="13" t="s">
        <v>356</v>
      </c>
      <c r="C10" s="13" t="s">
        <v>357</v>
      </c>
      <c r="D10" s="13" t="s">
        <v>343</v>
      </c>
      <c r="E10" s="13" t="s">
        <v>358</v>
      </c>
      <c r="F10" s="13" t="s">
        <v>37</v>
      </c>
      <c r="G10" s="16" t="s">
        <v>43</v>
      </c>
      <c r="H10" s="13"/>
      <c r="I10" s="13" t="s">
        <v>359</v>
      </c>
      <c r="J10" s="13"/>
    </row>
    <row r="11" customFormat="false" ht="42" hidden="false" customHeight="true" outlineLevel="0" collapsed="false">
      <c r="A11" s="12" t="s">
        <v>61</v>
      </c>
      <c r="B11" s="15" t="s">
        <v>356</v>
      </c>
      <c r="C11" s="15" t="s">
        <v>360</v>
      </c>
      <c r="D11" s="15" t="s">
        <v>343</v>
      </c>
      <c r="E11" s="15" t="s">
        <v>361</v>
      </c>
      <c r="F11" s="15" t="s">
        <v>49</v>
      </c>
      <c r="G11" s="16" t="s">
        <v>43</v>
      </c>
      <c r="H11" s="15"/>
      <c r="I11" s="15" t="s">
        <v>362</v>
      </c>
      <c r="J11" s="15"/>
    </row>
    <row r="12" customFormat="false" ht="42" hidden="false" customHeight="true" outlineLevel="0" collapsed="false">
      <c r="A12" s="12" t="s">
        <v>65</v>
      </c>
      <c r="B12" s="13" t="s">
        <v>363</v>
      </c>
      <c r="C12" s="13" t="s">
        <v>364</v>
      </c>
      <c r="D12" s="13" t="s">
        <v>343</v>
      </c>
      <c r="E12" s="13" t="s">
        <v>365</v>
      </c>
      <c r="F12" s="13" t="s">
        <v>37</v>
      </c>
      <c r="G12" s="16" t="s">
        <v>43</v>
      </c>
      <c r="H12" s="13"/>
      <c r="I12" s="13" t="s">
        <v>345</v>
      </c>
      <c r="J12" s="13"/>
    </row>
    <row r="13" customFormat="false" ht="24" hidden="false" customHeight="true" outlineLevel="0" collapsed="false">
      <c r="A13" s="17" t="s">
        <v>366</v>
      </c>
      <c r="B13" s="17"/>
      <c r="C13" s="17"/>
      <c r="D13" s="17"/>
      <c r="E13" s="17"/>
      <c r="F13" s="17"/>
      <c r="G13" s="17"/>
      <c r="H13" s="17"/>
      <c r="I13" s="17"/>
      <c r="J13" s="17"/>
    </row>
    <row r="14" customFormat="false" ht="42" hidden="false" customHeight="true" outlineLevel="0" collapsed="false">
      <c r="A14" s="12" t="s">
        <v>70</v>
      </c>
      <c r="B14" s="13" t="s">
        <v>367</v>
      </c>
      <c r="C14" s="13" t="s">
        <v>368</v>
      </c>
      <c r="D14" s="13" t="s">
        <v>369</v>
      </c>
      <c r="E14" s="13" t="s">
        <v>370</v>
      </c>
      <c r="F14" s="13" t="s">
        <v>37</v>
      </c>
      <c r="G14" s="14" t="s">
        <v>38</v>
      </c>
      <c r="H14" s="13"/>
      <c r="I14" s="13" t="s">
        <v>348</v>
      </c>
      <c r="J14" s="13"/>
    </row>
    <row r="15" customFormat="false" ht="42" hidden="false" customHeight="true" outlineLevel="0" collapsed="false">
      <c r="A15" s="12" t="s">
        <v>75</v>
      </c>
      <c r="B15" s="15" t="s">
        <v>367</v>
      </c>
      <c r="C15" s="15" t="s">
        <v>371</v>
      </c>
      <c r="D15" s="15" t="s">
        <v>369</v>
      </c>
      <c r="E15" s="15" t="s">
        <v>372</v>
      </c>
      <c r="F15" s="15" t="s">
        <v>78</v>
      </c>
      <c r="G15" s="14" t="s">
        <v>38</v>
      </c>
      <c r="H15" s="15"/>
      <c r="I15" s="15" t="s">
        <v>373</v>
      </c>
      <c r="J15" s="15"/>
    </row>
    <row r="16" customFormat="false" ht="42" hidden="false" customHeight="true" outlineLevel="0" collapsed="false">
      <c r="A16" s="12" t="s">
        <v>80</v>
      </c>
      <c r="B16" s="13" t="s">
        <v>374</v>
      </c>
      <c r="C16" s="13" t="s">
        <v>375</v>
      </c>
      <c r="D16" s="13" t="s">
        <v>369</v>
      </c>
      <c r="E16" s="13" t="s">
        <v>376</v>
      </c>
      <c r="F16" s="13" t="s">
        <v>84</v>
      </c>
      <c r="G16" s="14" t="s">
        <v>38</v>
      </c>
      <c r="H16" s="13"/>
      <c r="I16" s="13" t="s">
        <v>377</v>
      </c>
      <c r="J16" s="13"/>
    </row>
    <row r="17" customFormat="false" ht="42" hidden="false" customHeight="true" outlineLevel="0" collapsed="false">
      <c r="A17" s="12" t="s">
        <v>86</v>
      </c>
      <c r="B17" s="15" t="s">
        <v>374</v>
      </c>
      <c r="C17" s="15" t="s">
        <v>378</v>
      </c>
      <c r="D17" s="15" t="s">
        <v>369</v>
      </c>
      <c r="E17" s="15" t="s">
        <v>379</v>
      </c>
      <c r="F17" s="15" t="s">
        <v>49</v>
      </c>
      <c r="G17" s="16" t="s">
        <v>43</v>
      </c>
      <c r="H17" s="15"/>
      <c r="I17" s="15" t="s">
        <v>345</v>
      </c>
      <c r="J17" s="15"/>
    </row>
    <row r="18" customFormat="false" ht="42" hidden="false" customHeight="true" outlineLevel="0" collapsed="false">
      <c r="A18" s="12" t="s">
        <v>89</v>
      </c>
      <c r="B18" s="13" t="s">
        <v>380</v>
      </c>
      <c r="C18" s="13" t="s">
        <v>381</v>
      </c>
      <c r="D18" s="13" t="s">
        <v>369</v>
      </c>
      <c r="E18" s="13" t="s">
        <v>382</v>
      </c>
      <c r="F18" s="13" t="s">
        <v>37</v>
      </c>
      <c r="G18" s="16" t="s">
        <v>43</v>
      </c>
      <c r="H18" s="13"/>
      <c r="I18" s="13" t="s">
        <v>383</v>
      </c>
      <c r="J18" s="13"/>
    </row>
    <row r="19" customFormat="false" ht="42" hidden="false" customHeight="true" outlineLevel="0" collapsed="false">
      <c r="A19" s="12" t="s">
        <v>94</v>
      </c>
      <c r="B19" s="15" t="s">
        <v>380</v>
      </c>
      <c r="C19" s="15" t="s">
        <v>384</v>
      </c>
      <c r="D19" s="15" t="s">
        <v>369</v>
      </c>
      <c r="E19" s="15" t="s">
        <v>385</v>
      </c>
      <c r="F19" s="15" t="s">
        <v>97</v>
      </c>
      <c r="G19" s="14" t="s">
        <v>38</v>
      </c>
      <c r="H19" s="15"/>
      <c r="I19" s="15" t="s">
        <v>345</v>
      </c>
      <c r="J19" s="15"/>
    </row>
    <row r="20" customFormat="false" ht="42" hidden="false" customHeight="true" outlineLevel="0" collapsed="false">
      <c r="A20" s="12" t="s">
        <v>98</v>
      </c>
      <c r="B20" s="13" t="s">
        <v>386</v>
      </c>
      <c r="C20" s="13" t="s">
        <v>387</v>
      </c>
      <c r="D20" s="13" t="s">
        <v>369</v>
      </c>
      <c r="E20" s="13" t="s">
        <v>388</v>
      </c>
      <c r="F20" s="13" t="s">
        <v>84</v>
      </c>
      <c r="G20" s="18" t="s">
        <v>102</v>
      </c>
      <c r="H20" s="13"/>
      <c r="I20" s="13" t="s">
        <v>389</v>
      </c>
      <c r="J20" s="13"/>
    </row>
  </sheetData>
  <mergeCells count="4">
    <mergeCell ref="A1:J1"/>
    <mergeCell ref="A2:J2"/>
    <mergeCell ref="A5:J5"/>
    <mergeCell ref="A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28"/>
    <col collapsed="false" customWidth="true" hidden="false" outlineLevel="0" max="10" min="9" style="0" width="18"/>
  </cols>
  <sheetData>
    <row r="1" customFormat="false" ht="36" hidden="false" customHeight="true" outlineLevel="0" collapsed="false">
      <c r="A1" s="8" t="s">
        <v>390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9.5" hidden="false" customHeight="true" outlineLevel="0" collapsed="false">
      <c r="A2" s="9" t="s">
        <v>105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6" hidden="false" customHeight="true" outlineLevel="0" collapsed="false">
      <c r="A4" s="10" t="s">
        <v>330</v>
      </c>
      <c r="B4" s="10" t="s">
        <v>391</v>
      </c>
      <c r="C4" s="10" t="s">
        <v>392</v>
      </c>
      <c r="D4" s="10" t="s">
        <v>393</v>
      </c>
      <c r="E4" s="10" t="s">
        <v>394</v>
      </c>
      <c r="F4" s="10" t="s">
        <v>395</v>
      </c>
      <c r="G4" s="10" t="s">
        <v>396</v>
      </c>
      <c r="H4" s="10" t="s">
        <v>397</v>
      </c>
      <c r="I4" s="10" t="s">
        <v>398</v>
      </c>
      <c r="J4" s="10" t="s">
        <v>338</v>
      </c>
    </row>
    <row r="5" customFormat="false" ht="48" hidden="false" customHeight="true" outlineLevel="0" collapsed="false">
      <c r="A5" s="19" t="s">
        <v>114</v>
      </c>
      <c r="B5" s="15" t="s">
        <v>399</v>
      </c>
      <c r="C5" s="15" t="s">
        <v>400</v>
      </c>
      <c r="D5" s="15" t="s">
        <v>401</v>
      </c>
      <c r="E5" s="15" t="s">
        <v>84</v>
      </c>
      <c r="F5" s="14" t="s">
        <v>38</v>
      </c>
      <c r="G5" s="14" t="s">
        <v>38</v>
      </c>
      <c r="H5" s="15" t="s">
        <v>402</v>
      </c>
      <c r="I5" s="15" t="s">
        <v>403</v>
      </c>
      <c r="J5" s="15" t="s">
        <v>377</v>
      </c>
    </row>
    <row r="6" customFormat="false" ht="48" hidden="false" customHeight="true" outlineLevel="0" collapsed="false">
      <c r="A6" s="19" t="s">
        <v>120</v>
      </c>
      <c r="B6" s="13" t="s">
        <v>404</v>
      </c>
      <c r="C6" s="13" t="s">
        <v>405</v>
      </c>
      <c r="D6" s="13" t="s">
        <v>406</v>
      </c>
      <c r="E6" s="13" t="s">
        <v>124</v>
      </c>
      <c r="F6" s="14" t="s">
        <v>38</v>
      </c>
      <c r="G6" s="14" t="s">
        <v>38</v>
      </c>
      <c r="H6" s="13" t="s">
        <v>407</v>
      </c>
      <c r="I6" s="13" t="s">
        <v>408</v>
      </c>
      <c r="J6" s="13" t="s">
        <v>359</v>
      </c>
    </row>
    <row r="7" customFormat="false" ht="48" hidden="false" customHeight="true" outlineLevel="0" collapsed="false">
      <c r="A7" s="19" t="s">
        <v>127</v>
      </c>
      <c r="B7" s="15" t="s">
        <v>409</v>
      </c>
      <c r="C7" s="15" t="s">
        <v>410</v>
      </c>
      <c r="D7" s="15" t="s">
        <v>411</v>
      </c>
      <c r="E7" s="15" t="s">
        <v>37</v>
      </c>
      <c r="F7" s="14" t="s">
        <v>38</v>
      </c>
      <c r="G7" s="14" t="s">
        <v>38</v>
      </c>
      <c r="H7" s="15" t="s">
        <v>412</v>
      </c>
      <c r="I7" s="15" t="s">
        <v>408</v>
      </c>
      <c r="J7" s="15" t="s">
        <v>345</v>
      </c>
    </row>
    <row r="8" customFormat="false" ht="48" hidden="false" customHeight="true" outlineLevel="0" collapsed="false">
      <c r="A8" s="19" t="s">
        <v>133</v>
      </c>
      <c r="B8" s="13" t="s">
        <v>413</v>
      </c>
      <c r="C8" s="13" t="s">
        <v>414</v>
      </c>
      <c r="D8" s="13" t="s">
        <v>415</v>
      </c>
      <c r="E8" s="13" t="s">
        <v>37</v>
      </c>
      <c r="F8" s="14" t="s">
        <v>38</v>
      </c>
      <c r="G8" s="16" t="s">
        <v>43</v>
      </c>
      <c r="H8" s="13" t="s">
        <v>416</v>
      </c>
      <c r="I8" s="13" t="s">
        <v>408</v>
      </c>
      <c r="J8" s="13" t="s">
        <v>348</v>
      </c>
    </row>
    <row r="9" customFormat="false" ht="48" hidden="false" customHeight="true" outlineLevel="0" collapsed="false">
      <c r="A9" s="19" t="s">
        <v>138</v>
      </c>
      <c r="B9" s="15" t="s">
        <v>417</v>
      </c>
      <c r="C9" s="15" t="s">
        <v>418</v>
      </c>
      <c r="D9" s="15" t="s">
        <v>419</v>
      </c>
      <c r="E9" s="15" t="s">
        <v>49</v>
      </c>
      <c r="F9" s="16" t="s">
        <v>43</v>
      </c>
      <c r="G9" s="16" t="s">
        <v>43</v>
      </c>
      <c r="H9" s="15" t="s">
        <v>420</v>
      </c>
      <c r="I9" s="15" t="s">
        <v>408</v>
      </c>
      <c r="J9" s="15" t="s">
        <v>383</v>
      </c>
    </row>
    <row r="10" customFormat="false" ht="48" hidden="false" customHeight="true" outlineLevel="0" collapsed="false">
      <c r="A10" s="19" t="s">
        <v>143</v>
      </c>
      <c r="B10" s="13" t="s">
        <v>421</v>
      </c>
      <c r="C10" s="13" t="s">
        <v>422</v>
      </c>
      <c r="D10" s="13" t="s">
        <v>423</v>
      </c>
      <c r="E10" s="13" t="s">
        <v>78</v>
      </c>
      <c r="F10" s="16" t="s">
        <v>43</v>
      </c>
      <c r="G10" s="16" t="s">
        <v>43</v>
      </c>
      <c r="H10" s="13" t="s">
        <v>424</v>
      </c>
      <c r="I10" s="13" t="s">
        <v>408</v>
      </c>
      <c r="J10" s="13" t="s">
        <v>345</v>
      </c>
    </row>
    <row r="11" customFormat="false" ht="48" hidden="false" customHeight="true" outlineLevel="0" collapsed="false">
      <c r="A11" s="19" t="s">
        <v>148</v>
      </c>
      <c r="B11" s="15" t="s">
        <v>425</v>
      </c>
      <c r="C11" s="15" t="s">
        <v>426</v>
      </c>
      <c r="D11" s="15" t="s">
        <v>427</v>
      </c>
      <c r="E11" s="15" t="s">
        <v>97</v>
      </c>
      <c r="F11" s="18" t="s">
        <v>102</v>
      </c>
      <c r="G11" s="14" t="s">
        <v>38</v>
      </c>
      <c r="H11" s="15" t="s">
        <v>428</v>
      </c>
      <c r="I11" s="15" t="s">
        <v>408</v>
      </c>
      <c r="J11" s="15" t="s">
        <v>355</v>
      </c>
    </row>
    <row r="12" customFormat="false" ht="48" hidden="false" customHeight="true" outlineLevel="0" collapsed="false">
      <c r="A12" s="19" t="s">
        <v>153</v>
      </c>
      <c r="B12" s="13" t="s">
        <v>429</v>
      </c>
      <c r="C12" s="13" t="s">
        <v>430</v>
      </c>
      <c r="D12" s="13" t="s">
        <v>431</v>
      </c>
      <c r="E12" s="13" t="s">
        <v>124</v>
      </c>
      <c r="F12" s="16" t="s">
        <v>43</v>
      </c>
      <c r="G12" s="16" t="s">
        <v>43</v>
      </c>
      <c r="H12" s="13" t="s">
        <v>432</v>
      </c>
      <c r="I12" s="13" t="s">
        <v>408</v>
      </c>
      <c r="J12" s="13" t="s">
        <v>433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9" min="7" style="0" width="10"/>
    <col collapsed="false" customWidth="true" hidden="false" outlineLevel="0" max="10" min="10" style="0" width="35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3" min="13" style="0" width="14"/>
  </cols>
  <sheetData>
    <row r="1" customFormat="false" ht="36" hidden="false" customHeight="true" outlineLevel="0" collapsed="false">
      <c r="A1" s="8" t="s">
        <v>434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19.5" hidden="false" customHeight="true" outlineLevel="0" collapsed="false">
      <c r="A2" s="9" t="s">
        <v>160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8" hidden="false" customHeight="true" outlineLevel="0" collapsed="false">
      <c r="A3" s="20" t="s">
        <v>435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customFormat="false" ht="42" hidden="false" customHeight="true" outlineLevel="0" collapsed="false">
      <c r="A4" s="10" t="s">
        <v>330</v>
      </c>
      <c r="B4" s="10" t="s">
        <v>331</v>
      </c>
      <c r="C4" s="10" t="s">
        <v>436</v>
      </c>
      <c r="D4" s="10" t="s">
        <v>437</v>
      </c>
      <c r="E4" s="10" t="s">
        <v>335</v>
      </c>
      <c r="F4" s="10" t="s">
        <v>438</v>
      </c>
      <c r="G4" s="10" t="s">
        <v>439</v>
      </c>
      <c r="H4" s="10" t="s">
        <v>440</v>
      </c>
      <c r="I4" s="10" t="s">
        <v>441</v>
      </c>
      <c r="J4" s="10" t="s">
        <v>442</v>
      </c>
      <c r="K4" s="10" t="s">
        <v>338</v>
      </c>
      <c r="L4" s="10" t="s">
        <v>443</v>
      </c>
      <c r="M4" s="10" t="s">
        <v>444</v>
      </c>
    </row>
    <row r="5" customFormat="false" ht="42" hidden="false" customHeight="true" outlineLevel="0" collapsed="false">
      <c r="A5" s="14" t="s">
        <v>171</v>
      </c>
      <c r="B5" s="15" t="s">
        <v>445</v>
      </c>
      <c r="C5" s="15" t="s">
        <v>446</v>
      </c>
      <c r="D5" s="14" t="s">
        <v>174</v>
      </c>
      <c r="E5" s="15" t="s">
        <v>84</v>
      </c>
      <c r="F5" s="21" t="n">
        <v>3</v>
      </c>
      <c r="G5" s="21" t="n">
        <v>4</v>
      </c>
      <c r="H5" s="22" t="n">
        <f aca="false">F5*G5</f>
        <v>12</v>
      </c>
      <c r="I5" s="23" t="str">
        <f aca="false">IF(F5*G5&gt;=16,"HOCH",IF(F5*G5&gt;=9,"MITTEL","NIEDRIG"))</f>
        <v>MITTEL</v>
      </c>
      <c r="J5" s="15" t="s">
        <v>447</v>
      </c>
      <c r="K5" s="15" t="s">
        <v>348</v>
      </c>
      <c r="L5" s="15" t="s">
        <v>176</v>
      </c>
      <c r="M5" s="15"/>
    </row>
    <row r="6" customFormat="false" ht="42" hidden="false" customHeight="true" outlineLevel="0" collapsed="false">
      <c r="A6" s="14" t="s">
        <v>177</v>
      </c>
      <c r="B6" s="13" t="s">
        <v>445</v>
      </c>
      <c r="C6" s="13" t="s">
        <v>448</v>
      </c>
      <c r="D6" s="14" t="s">
        <v>174</v>
      </c>
      <c r="E6" s="13" t="s">
        <v>84</v>
      </c>
      <c r="F6" s="24" t="n">
        <v>3</v>
      </c>
      <c r="G6" s="24" t="n">
        <v>4</v>
      </c>
      <c r="H6" s="25" t="n">
        <f aca="false">F6*G6</f>
        <v>12</v>
      </c>
      <c r="I6" s="26" t="str">
        <f aca="false">IF(F6*G6&gt;=16,"HOCH",IF(F6*G6&gt;=9,"MITTEL","NIEDRIG"))</f>
        <v>MITTEL</v>
      </c>
      <c r="J6" s="13" t="s">
        <v>449</v>
      </c>
      <c r="K6" s="13" t="s">
        <v>383</v>
      </c>
      <c r="L6" s="13" t="s">
        <v>176</v>
      </c>
      <c r="M6" s="13"/>
    </row>
    <row r="7" customFormat="false" ht="42" hidden="false" customHeight="true" outlineLevel="0" collapsed="false">
      <c r="A7" s="14" t="s">
        <v>180</v>
      </c>
      <c r="B7" s="15" t="s">
        <v>425</v>
      </c>
      <c r="C7" s="15" t="s">
        <v>450</v>
      </c>
      <c r="D7" s="14" t="s">
        <v>174</v>
      </c>
      <c r="E7" s="15" t="s">
        <v>97</v>
      </c>
      <c r="F7" s="21" t="n">
        <v>2</v>
      </c>
      <c r="G7" s="21" t="n">
        <v>5</v>
      </c>
      <c r="H7" s="22" t="n">
        <f aca="false">F7*G7</f>
        <v>10</v>
      </c>
      <c r="I7" s="23" t="str">
        <f aca="false">IF(F7*G7&gt;=16,"HOCH",IF(F7*G7&gt;=9,"MITTEL","NIEDRIG"))</f>
        <v>MITTEL</v>
      </c>
      <c r="J7" s="15" t="s">
        <v>451</v>
      </c>
      <c r="K7" s="15" t="s">
        <v>355</v>
      </c>
      <c r="L7" s="15" t="s">
        <v>183</v>
      </c>
      <c r="M7" s="15"/>
    </row>
    <row r="8" customFormat="false" ht="42" hidden="false" customHeight="true" outlineLevel="0" collapsed="false">
      <c r="A8" s="14" t="s">
        <v>184</v>
      </c>
      <c r="B8" s="13" t="s">
        <v>425</v>
      </c>
      <c r="C8" s="13" t="s">
        <v>452</v>
      </c>
      <c r="D8" s="14" t="s">
        <v>174</v>
      </c>
      <c r="E8" s="13" t="s">
        <v>97</v>
      </c>
      <c r="F8" s="24" t="n">
        <v>2</v>
      </c>
      <c r="G8" s="24" t="n">
        <v>4</v>
      </c>
      <c r="H8" s="25" t="n">
        <f aca="false">F8*G8</f>
        <v>8</v>
      </c>
      <c r="I8" s="26" t="str">
        <f aca="false">IF(F8*G8&gt;=16,"HOCH",IF(F8*G8&gt;=9,"MITTEL","NIEDRIG"))</f>
        <v>NIEDRIG</v>
      </c>
      <c r="J8" s="13" t="s">
        <v>453</v>
      </c>
      <c r="K8" s="13" t="s">
        <v>355</v>
      </c>
      <c r="L8" s="13" t="s">
        <v>454</v>
      </c>
      <c r="M8" s="13"/>
    </row>
    <row r="9" customFormat="false" ht="42" hidden="false" customHeight="true" outlineLevel="0" collapsed="false">
      <c r="A9" s="14" t="s">
        <v>188</v>
      </c>
      <c r="B9" s="15" t="s">
        <v>455</v>
      </c>
      <c r="C9" s="15" t="s">
        <v>456</v>
      </c>
      <c r="D9" s="14" t="s">
        <v>174</v>
      </c>
      <c r="E9" s="15" t="s">
        <v>54</v>
      </c>
      <c r="F9" s="21" t="n">
        <v>3</v>
      </c>
      <c r="G9" s="21" t="n">
        <v>5</v>
      </c>
      <c r="H9" s="22" t="n">
        <f aca="false">F9*G9</f>
        <v>15</v>
      </c>
      <c r="I9" s="23" t="str">
        <f aca="false">IF(F9*G9&gt;=16,"HOCH",IF(F9*G9&gt;=9,"MITTEL","NIEDRIG"))</f>
        <v>MITTEL</v>
      </c>
      <c r="J9" s="15" t="s">
        <v>457</v>
      </c>
      <c r="K9" s="15" t="s">
        <v>355</v>
      </c>
      <c r="L9" s="15" t="s">
        <v>183</v>
      </c>
      <c r="M9" s="15"/>
    </row>
    <row r="10" customFormat="false" ht="42" hidden="false" customHeight="true" outlineLevel="0" collapsed="false">
      <c r="A10" s="14" t="s">
        <v>192</v>
      </c>
      <c r="B10" s="13" t="s">
        <v>455</v>
      </c>
      <c r="C10" s="13" t="s">
        <v>458</v>
      </c>
      <c r="D10" s="14" t="s">
        <v>174</v>
      </c>
      <c r="E10" s="13" t="s">
        <v>54</v>
      </c>
      <c r="F10" s="24" t="n">
        <v>3</v>
      </c>
      <c r="G10" s="24" t="n">
        <v>3</v>
      </c>
      <c r="H10" s="25" t="n">
        <f aca="false">F10*G10</f>
        <v>9</v>
      </c>
      <c r="I10" s="26" t="str">
        <f aca="false">IF(F10*G10&gt;=16,"HOCH",IF(F10*G10&gt;=9,"MITTEL","NIEDRIG"))</f>
        <v>MITTEL</v>
      </c>
      <c r="J10" s="13" t="s">
        <v>459</v>
      </c>
      <c r="K10" s="13" t="s">
        <v>359</v>
      </c>
      <c r="L10" s="13" t="s">
        <v>176</v>
      </c>
      <c r="M10" s="13"/>
    </row>
    <row r="11" customFormat="false" ht="42" hidden="false" customHeight="true" outlineLevel="0" collapsed="false">
      <c r="A11" s="14" t="s">
        <v>195</v>
      </c>
      <c r="B11" s="15" t="s">
        <v>460</v>
      </c>
      <c r="C11" s="15" t="s">
        <v>461</v>
      </c>
      <c r="D11" s="14" t="s">
        <v>174</v>
      </c>
      <c r="E11" s="15" t="s">
        <v>49</v>
      </c>
      <c r="F11" s="21" t="n">
        <v>4</v>
      </c>
      <c r="G11" s="21" t="n">
        <v>4</v>
      </c>
      <c r="H11" s="22" t="n">
        <f aca="false">F11*G11</f>
        <v>16</v>
      </c>
      <c r="I11" s="23" t="str">
        <f aca="false">IF(F11*G11&gt;=16,"HOCH",IF(F11*G11&gt;=9,"MITTEL","NIEDRIG"))</f>
        <v>HOCH</v>
      </c>
      <c r="J11" s="15" t="s">
        <v>462</v>
      </c>
      <c r="K11" s="15" t="s">
        <v>348</v>
      </c>
      <c r="L11" s="15" t="s">
        <v>199</v>
      </c>
      <c r="M11" s="15"/>
    </row>
    <row r="12" customFormat="false" ht="42" hidden="false" customHeight="true" outlineLevel="0" collapsed="false">
      <c r="A12" s="14" t="s">
        <v>200</v>
      </c>
      <c r="B12" s="13" t="s">
        <v>362</v>
      </c>
      <c r="C12" s="13" t="s">
        <v>463</v>
      </c>
      <c r="D12" s="14" t="s">
        <v>174</v>
      </c>
      <c r="E12" s="13" t="s">
        <v>124</v>
      </c>
      <c r="F12" s="24" t="n">
        <v>3</v>
      </c>
      <c r="G12" s="24" t="n">
        <v>4</v>
      </c>
      <c r="H12" s="25" t="n">
        <f aca="false">F12*G12</f>
        <v>12</v>
      </c>
      <c r="I12" s="26" t="str">
        <f aca="false">IF(F12*G12&gt;=16,"HOCH",IF(F12*G12&gt;=9,"MITTEL","NIEDRIG"))</f>
        <v>MITTEL</v>
      </c>
      <c r="J12" s="13" t="s">
        <v>464</v>
      </c>
      <c r="K12" s="13" t="s">
        <v>359</v>
      </c>
      <c r="L12" s="13" t="s">
        <v>176</v>
      </c>
      <c r="M12" s="13"/>
    </row>
    <row r="13" customFormat="false" ht="42" hidden="false" customHeight="true" outlineLevel="0" collapsed="false">
      <c r="A13" s="18" t="s">
        <v>465</v>
      </c>
      <c r="B13" s="15" t="s">
        <v>445</v>
      </c>
      <c r="C13" s="15" t="s">
        <v>466</v>
      </c>
      <c r="D13" s="18" t="s">
        <v>467</v>
      </c>
      <c r="E13" s="15" t="s">
        <v>84</v>
      </c>
      <c r="F13" s="21" t="n">
        <v>4</v>
      </c>
      <c r="G13" s="21" t="n">
        <v>4</v>
      </c>
      <c r="H13" s="22" t="n">
        <f aca="false">F13*G13</f>
        <v>16</v>
      </c>
      <c r="I13" s="23" t="str">
        <f aca="false">IF(F13*G13&gt;=16,"HOCH",IF(F13*G13&gt;=9,"MITTEL","NIEDRIG"))</f>
        <v>HOCH</v>
      </c>
      <c r="J13" s="15" t="s">
        <v>468</v>
      </c>
      <c r="K13" s="15" t="s">
        <v>377</v>
      </c>
      <c r="L13" s="15" t="s">
        <v>199</v>
      </c>
      <c r="M13" s="15"/>
    </row>
    <row r="14" customFormat="false" ht="42" hidden="false" customHeight="true" outlineLevel="0" collapsed="false">
      <c r="A14" s="18" t="s">
        <v>469</v>
      </c>
      <c r="B14" s="13" t="s">
        <v>425</v>
      </c>
      <c r="C14" s="13" t="s">
        <v>470</v>
      </c>
      <c r="D14" s="18" t="s">
        <v>467</v>
      </c>
      <c r="E14" s="13" t="s">
        <v>97</v>
      </c>
      <c r="F14" s="24" t="n">
        <v>4</v>
      </c>
      <c r="G14" s="24" t="n">
        <v>4</v>
      </c>
      <c r="H14" s="25" t="n">
        <f aca="false">F14*G14</f>
        <v>16</v>
      </c>
      <c r="I14" s="26" t="str">
        <f aca="false">IF(F14*G14&gt;=16,"HOCH",IF(F14*G14&gt;=9,"MITTEL","NIEDRIG"))</f>
        <v>HOCH</v>
      </c>
      <c r="J14" s="13" t="s">
        <v>471</v>
      </c>
      <c r="K14" s="13" t="s">
        <v>345</v>
      </c>
      <c r="L14" s="13" t="s">
        <v>211</v>
      </c>
      <c r="M14" s="13"/>
    </row>
    <row r="15" customFormat="false" ht="42" hidden="false" customHeight="true" outlineLevel="0" collapsed="false">
      <c r="A15" s="18" t="s">
        <v>472</v>
      </c>
      <c r="B15" s="15" t="s">
        <v>455</v>
      </c>
      <c r="C15" s="15" t="s">
        <v>473</v>
      </c>
      <c r="D15" s="18" t="s">
        <v>467</v>
      </c>
      <c r="E15" s="15" t="s">
        <v>54</v>
      </c>
      <c r="F15" s="21" t="n">
        <v>4</v>
      </c>
      <c r="G15" s="21" t="n">
        <v>3</v>
      </c>
      <c r="H15" s="22" t="n">
        <f aca="false">F15*G15</f>
        <v>12</v>
      </c>
      <c r="I15" s="23" t="str">
        <f aca="false">IF(F15*G15&gt;=16,"HOCH",IF(F15*G15&gt;=9,"MITTEL","NIEDRIG"))</f>
        <v>MITTEL</v>
      </c>
      <c r="J15" s="15" t="s">
        <v>474</v>
      </c>
      <c r="K15" s="15" t="s">
        <v>475</v>
      </c>
      <c r="L15" s="15" t="s">
        <v>211</v>
      </c>
      <c r="M15" s="15"/>
    </row>
    <row r="16" customFormat="false" ht="42" hidden="false" customHeight="true" outlineLevel="0" collapsed="false">
      <c r="A16" s="18" t="s">
        <v>476</v>
      </c>
      <c r="B16" s="13" t="s">
        <v>217</v>
      </c>
      <c r="C16" s="13" t="s">
        <v>477</v>
      </c>
      <c r="D16" s="18" t="s">
        <v>467</v>
      </c>
      <c r="E16" s="13" t="s">
        <v>49</v>
      </c>
      <c r="F16" s="24" t="n">
        <v>5</v>
      </c>
      <c r="G16" s="24" t="n">
        <v>3</v>
      </c>
      <c r="H16" s="25" t="n">
        <f aca="false">F16*G16</f>
        <v>15</v>
      </c>
      <c r="I16" s="26" t="str">
        <f aca="false">IF(F16*G16&gt;=16,"HOCH",IF(F16*G16&gt;=9,"MITTEL","NIEDRIG"))</f>
        <v>MITTEL</v>
      </c>
      <c r="J16" s="13" t="s">
        <v>478</v>
      </c>
      <c r="K16" s="13" t="s">
        <v>348</v>
      </c>
      <c r="L16" s="13" t="s">
        <v>183</v>
      </c>
      <c r="M16" s="13"/>
    </row>
  </sheetData>
  <mergeCells count="3">
    <mergeCell ref="A1:M1"/>
    <mergeCell ref="A2:M2"/>
    <mergeCell ref="A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30"/>
    <col collapsed="false" customWidth="true" hidden="false" outlineLevel="0" max="12" min="12" style="0" width="14"/>
  </cols>
  <sheetData>
    <row r="1" customFormat="false" ht="36" hidden="false" customHeight="true" outlineLevel="0" collapsed="false">
      <c r="A1" s="8" t="s">
        <v>479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19.5" hidden="false" customHeight="true" outlineLevel="0" collapsed="false">
      <c r="A2" s="9" t="s">
        <v>221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customFormat="false" ht="42" hidden="false" customHeight="true" outlineLevel="0" collapsed="false">
      <c r="A4" s="10" t="s">
        <v>330</v>
      </c>
      <c r="B4" s="10" t="s">
        <v>480</v>
      </c>
      <c r="C4" s="10" t="s">
        <v>481</v>
      </c>
      <c r="D4" s="10" t="s">
        <v>482</v>
      </c>
      <c r="E4" s="10" t="s">
        <v>483</v>
      </c>
      <c r="F4" s="10" t="s">
        <v>484</v>
      </c>
      <c r="G4" s="10" t="s">
        <v>338</v>
      </c>
      <c r="H4" s="10" t="s">
        <v>485</v>
      </c>
      <c r="I4" s="10" t="s">
        <v>486</v>
      </c>
      <c r="J4" s="10" t="s">
        <v>229</v>
      </c>
      <c r="K4" s="10" t="s">
        <v>487</v>
      </c>
      <c r="L4" s="10" t="s">
        <v>488</v>
      </c>
    </row>
    <row r="5" customFormat="false" ht="48" hidden="false" customHeight="true" outlineLevel="0" collapsed="false">
      <c r="A5" s="27" t="s">
        <v>114</v>
      </c>
      <c r="B5" s="15" t="s">
        <v>232</v>
      </c>
      <c r="C5" s="15" t="s">
        <v>489</v>
      </c>
      <c r="D5" s="15" t="s">
        <v>37</v>
      </c>
      <c r="E5" s="15" t="s">
        <v>490</v>
      </c>
      <c r="F5" s="15" t="s">
        <v>491</v>
      </c>
      <c r="G5" s="15" t="s">
        <v>348</v>
      </c>
      <c r="H5" s="15" t="s">
        <v>236</v>
      </c>
      <c r="I5" s="15" t="s">
        <v>237</v>
      </c>
      <c r="J5" s="28" t="n">
        <v>0</v>
      </c>
      <c r="K5" s="15" t="s">
        <v>492</v>
      </c>
      <c r="L5" s="15"/>
    </row>
    <row r="6" customFormat="false" ht="48" hidden="false" customHeight="true" outlineLevel="0" collapsed="false">
      <c r="A6" s="27" t="s">
        <v>120</v>
      </c>
      <c r="B6" s="13" t="s">
        <v>239</v>
      </c>
      <c r="C6" s="13" t="s">
        <v>493</v>
      </c>
      <c r="D6" s="13" t="s">
        <v>37</v>
      </c>
      <c r="E6" s="13" t="s">
        <v>494</v>
      </c>
      <c r="F6" s="13" t="s">
        <v>495</v>
      </c>
      <c r="G6" s="13" t="s">
        <v>345</v>
      </c>
      <c r="H6" s="13" t="s">
        <v>236</v>
      </c>
      <c r="I6" s="13" t="s">
        <v>496</v>
      </c>
      <c r="J6" s="29" t="n">
        <v>0</v>
      </c>
      <c r="K6" s="13" t="s">
        <v>497</v>
      </c>
      <c r="L6" s="13"/>
    </row>
    <row r="7" customFormat="false" ht="48" hidden="false" customHeight="true" outlineLevel="0" collapsed="false">
      <c r="A7" s="27" t="s">
        <v>127</v>
      </c>
      <c r="B7" s="15" t="s">
        <v>245</v>
      </c>
      <c r="C7" s="15" t="s">
        <v>498</v>
      </c>
      <c r="D7" s="15" t="s">
        <v>37</v>
      </c>
      <c r="E7" s="15" t="s">
        <v>499</v>
      </c>
      <c r="F7" s="15" t="s">
        <v>500</v>
      </c>
      <c r="G7" s="15" t="s">
        <v>348</v>
      </c>
      <c r="H7" s="15" t="s">
        <v>237</v>
      </c>
      <c r="I7" s="15" t="s">
        <v>496</v>
      </c>
      <c r="J7" s="28" t="n">
        <v>0</v>
      </c>
      <c r="K7" s="15" t="s">
        <v>501</v>
      </c>
      <c r="L7" s="15"/>
    </row>
    <row r="8" customFormat="false" ht="48" hidden="false" customHeight="true" outlineLevel="0" collapsed="false">
      <c r="A8" s="27" t="s">
        <v>133</v>
      </c>
      <c r="B8" s="13" t="s">
        <v>250</v>
      </c>
      <c r="C8" s="13" t="s">
        <v>502</v>
      </c>
      <c r="D8" s="13" t="s">
        <v>37</v>
      </c>
      <c r="E8" s="13" t="s">
        <v>503</v>
      </c>
      <c r="F8" s="13" t="s">
        <v>504</v>
      </c>
      <c r="G8" s="13" t="s">
        <v>348</v>
      </c>
      <c r="H8" s="13" t="s">
        <v>236</v>
      </c>
      <c r="I8" s="13" t="s">
        <v>237</v>
      </c>
      <c r="J8" s="29" t="n">
        <v>0</v>
      </c>
      <c r="K8" s="13" t="s">
        <v>505</v>
      </c>
      <c r="L8" s="13"/>
    </row>
    <row r="9" customFormat="false" ht="48" hidden="false" customHeight="true" outlineLevel="0" collapsed="false">
      <c r="A9" s="27" t="s">
        <v>138</v>
      </c>
      <c r="B9" s="15" t="s">
        <v>255</v>
      </c>
      <c r="C9" s="15" t="s">
        <v>506</v>
      </c>
      <c r="D9" s="15" t="s">
        <v>37</v>
      </c>
      <c r="E9" s="15" t="s">
        <v>507</v>
      </c>
      <c r="F9" s="15" t="s">
        <v>508</v>
      </c>
      <c r="G9" s="15" t="s">
        <v>345</v>
      </c>
      <c r="H9" s="15" t="s">
        <v>237</v>
      </c>
      <c r="I9" s="15" t="s">
        <v>496</v>
      </c>
      <c r="J9" s="28" t="n">
        <v>0</v>
      </c>
      <c r="K9" s="15" t="s">
        <v>509</v>
      </c>
      <c r="L9" s="15"/>
    </row>
    <row r="10" customFormat="false" ht="48" hidden="false" customHeight="true" outlineLevel="0" collapsed="false">
      <c r="A10" s="27" t="s">
        <v>143</v>
      </c>
      <c r="B10" s="13" t="s">
        <v>260</v>
      </c>
      <c r="C10" s="13" t="s">
        <v>510</v>
      </c>
      <c r="D10" s="13" t="s">
        <v>37</v>
      </c>
      <c r="E10" s="13" t="s">
        <v>511</v>
      </c>
      <c r="F10" s="13" t="s">
        <v>512</v>
      </c>
      <c r="G10" s="13" t="s">
        <v>513</v>
      </c>
      <c r="H10" s="13" t="s">
        <v>236</v>
      </c>
      <c r="I10" s="13" t="s">
        <v>265</v>
      </c>
      <c r="J10" s="29" t="n">
        <v>0</v>
      </c>
      <c r="K10" s="13" t="s">
        <v>514</v>
      </c>
      <c r="L10" s="13"/>
    </row>
    <row r="11" customFormat="false" ht="48" hidden="false" customHeight="true" outlineLevel="0" collapsed="false">
      <c r="A11" s="27" t="s">
        <v>148</v>
      </c>
      <c r="B11" s="15" t="s">
        <v>267</v>
      </c>
      <c r="C11" s="15" t="s">
        <v>515</v>
      </c>
      <c r="D11" s="15" t="s">
        <v>37</v>
      </c>
      <c r="E11" s="15" t="s">
        <v>516</v>
      </c>
      <c r="F11" s="15" t="s">
        <v>517</v>
      </c>
      <c r="G11" s="15" t="s">
        <v>359</v>
      </c>
      <c r="H11" s="15" t="s">
        <v>237</v>
      </c>
      <c r="I11" s="15" t="s">
        <v>518</v>
      </c>
      <c r="J11" s="28" t="n">
        <v>0</v>
      </c>
      <c r="K11" s="15" t="s">
        <v>519</v>
      </c>
      <c r="L11" s="15"/>
    </row>
    <row r="12" customFormat="false" ht="48" hidden="false" customHeight="true" outlineLevel="0" collapsed="false">
      <c r="A12" s="27" t="s">
        <v>153</v>
      </c>
      <c r="B12" s="13" t="s">
        <v>273</v>
      </c>
      <c r="C12" s="13" t="s">
        <v>520</v>
      </c>
      <c r="D12" s="13" t="s">
        <v>37</v>
      </c>
      <c r="E12" s="13" t="s">
        <v>521</v>
      </c>
      <c r="F12" s="13" t="s">
        <v>522</v>
      </c>
      <c r="G12" s="13" t="s">
        <v>348</v>
      </c>
      <c r="H12" s="13" t="s">
        <v>496</v>
      </c>
      <c r="I12" s="13" t="s">
        <v>265</v>
      </c>
      <c r="J12" s="29" t="n">
        <v>0</v>
      </c>
      <c r="K12" s="13" t="s">
        <v>523</v>
      </c>
      <c r="L12" s="13"/>
    </row>
    <row r="13" customFormat="false" ht="48" hidden="false" customHeight="true" outlineLevel="0" collapsed="false">
      <c r="A13" s="27" t="s">
        <v>278</v>
      </c>
      <c r="B13" s="15" t="s">
        <v>279</v>
      </c>
      <c r="C13" s="15" t="s">
        <v>524</v>
      </c>
      <c r="D13" s="15" t="s">
        <v>37</v>
      </c>
      <c r="E13" s="15" t="s">
        <v>525</v>
      </c>
      <c r="F13" s="15" t="s">
        <v>526</v>
      </c>
      <c r="G13" s="15" t="s">
        <v>348</v>
      </c>
      <c r="H13" s="15" t="s">
        <v>237</v>
      </c>
      <c r="I13" s="15" t="s">
        <v>265</v>
      </c>
      <c r="J13" s="28" t="n">
        <v>0</v>
      </c>
      <c r="K13" s="15" t="s">
        <v>527</v>
      </c>
      <c r="L13" s="15"/>
    </row>
    <row r="14" customFormat="false" ht="48" hidden="false" customHeight="true" outlineLevel="0" collapsed="false">
      <c r="A14" s="27" t="s">
        <v>284</v>
      </c>
      <c r="B14" s="13" t="s">
        <v>285</v>
      </c>
      <c r="C14" s="13" t="s">
        <v>528</v>
      </c>
      <c r="D14" s="13" t="s">
        <v>49</v>
      </c>
      <c r="E14" s="13" t="s">
        <v>529</v>
      </c>
      <c r="F14" s="13" t="s">
        <v>530</v>
      </c>
      <c r="G14" s="13" t="s">
        <v>352</v>
      </c>
      <c r="H14" s="13" t="s">
        <v>496</v>
      </c>
      <c r="I14" s="13" t="s">
        <v>289</v>
      </c>
      <c r="J14" s="29" t="n">
        <v>0</v>
      </c>
      <c r="K14" s="13" t="s">
        <v>531</v>
      </c>
      <c r="L14" s="13"/>
    </row>
    <row r="15" customFormat="false" ht="48" hidden="false" customHeight="true" outlineLevel="0" collapsed="false">
      <c r="A15" s="27" t="s">
        <v>291</v>
      </c>
      <c r="B15" s="15" t="s">
        <v>285</v>
      </c>
      <c r="C15" s="15" t="s">
        <v>532</v>
      </c>
      <c r="D15" s="15" t="s">
        <v>54</v>
      </c>
      <c r="E15" s="15" t="s">
        <v>533</v>
      </c>
      <c r="F15" s="15" t="s">
        <v>534</v>
      </c>
      <c r="G15" s="15" t="s">
        <v>355</v>
      </c>
      <c r="H15" s="15" t="s">
        <v>236</v>
      </c>
      <c r="I15" s="15" t="s">
        <v>265</v>
      </c>
      <c r="J15" s="28" t="n">
        <v>0</v>
      </c>
      <c r="K15" s="15" t="s">
        <v>535</v>
      </c>
      <c r="L15" s="15"/>
    </row>
    <row r="16" customFormat="false" ht="48" hidden="false" customHeight="true" outlineLevel="0" collapsed="false">
      <c r="A16" s="27" t="s">
        <v>296</v>
      </c>
      <c r="B16" s="13" t="s">
        <v>297</v>
      </c>
      <c r="C16" s="13" t="s">
        <v>536</v>
      </c>
      <c r="D16" s="13" t="s">
        <v>37</v>
      </c>
      <c r="E16" s="13" t="s">
        <v>537</v>
      </c>
      <c r="F16" s="13" t="s">
        <v>538</v>
      </c>
      <c r="G16" s="13" t="s">
        <v>348</v>
      </c>
      <c r="H16" s="13" t="s">
        <v>496</v>
      </c>
      <c r="I16" s="13" t="s">
        <v>518</v>
      </c>
      <c r="J16" s="29" t="n">
        <v>0</v>
      </c>
      <c r="K16" s="13" t="s">
        <v>539</v>
      </c>
      <c r="L16" s="13"/>
    </row>
    <row r="17" customFormat="false" ht="48" hidden="false" customHeight="true" outlineLevel="0" collapsed="false">
      <c r="A17" s="27" t="s">
        <v>302</v>
      </c>
      <c r="B17" s="15" t="s">
        <v>303</v>
      </c>
      <c r="C17" s="15" t="s">
        <v>540</v>
      </c>
      <c r="D17" s="15" t="s">
        <v>37</v>
      </c>
      <c r="E17" s="15" t="s">
        <v>541</v>
      </c>
      <c r="F17" s="15" t="s">
        <v>542</v>
      </c>
      <c r="G17" s="15" t="s">
        <v>543</v>
      </c>
      <c r="H17" s="15" t="s">
        <v>265</v>
      </c>
      <c r="I17" s="15" t="s">
        <v>308</v>
      </c>
      <c r="J17" s="28" t="n">
        <v>0</v>
      </c>
      <c r="K17" s="15" t="s">
        <v>544</v>
      </c>
      <c r="L17" s="15"/>
    </row>
    <row r="18" customFormat="false" ht="48" hidden="false" customHeight="true" outlineLevel="0" collapsed="false">
      <c r="A18" s="27" t="s">
        <v>310</v>
      </c>
      <c r="B18" s="13" t="s">
        <v>311</v>
      </c>
      <c r="C18" s="13" t="s">
        <v>545</v>
      </c>
      <c r="D18" s="13" t="s">
        <v>37</v>
      </c>
      <c r="E18" s="13" t="s">
        <v>546</v>
      </c>
      <c r="F18" s="13" t="s">
        <v>547</v>
      </c>
      <c r="G18" s="13" t="s">
        <v>345</v>
      </c>
      <c r="H18" s="13" t="s">
        <v>315</v>
      </c>
      <c r="I18" s="13" t="s">
        <v>548</v>
      </c>
      <c r="J18" s="29" t="n">
        <v>0</v>
      </c>
      <c r="K18" s="13" t="s">
        <v>497</v>
      </c>
      <c r="L18" s="13"/>
    </row>
    <row r="19" customFormat="false" ht="48" hidden="false" customHeight="true" outlineLevel="0" collapsed="false">
      <c r="A19" s="27" t="s">
        <v>317</v>
      </c>
      <c r="B19" s="15" t="s">
        <v>318</v>
      </c>
      <c r="C19" s="15" t="s">
        <v>549</v>
      </c>
      <c r="D19" s="15" t="s">
        <v>37</v>
      </c>
      <c r="E19" s="15" t="s">
        <v>550</v>
      </c>
      <c r="F19" s="15" t="s">
        <v>551</v>
      </c>
      <c r="G19" s="15" t="s">
        <v>348</v>
      </c>
      <c r="H19" s="15" t="s">
        <v>496</v>
      </c>
      <c r="I19" s="15" t="s">
        <v>518</v>
      </c>
      <c r="J19" s="28" t="n">
        <v>0</v>
      </c>
      <c r="K19" s="15" t="s">
        <v>552</v>
      </c>
      <c r="L19" s="15"/>
    </row>
    <row r="20" customFormat="false" ht="48" hidden="false" customHeight="true" outlineLevel="0" collapsed="false">
      <c r="A20" s="27" t="s">
        <v>323</v>
      </c>
      <c r="B20" s="13" t="s">
        <v>324</v>
      </c>
      <c r="C20" s="13" t="s">
        <v>553</v>
      </c>
      <c r="D20" s="13" t="s">
        <v>37</v>
      </c>
      <c r="E20" s="13" t="s">
        <v>554</v>
      </c>
      <c r="F20" s="13" t="s">
        <v>555</v>
      </c>
      <c r="G20" s="13" t="s">
        <v>345</v>
      </c>
      <c r="H20" s="13" t="s">
        <v>454</v>
      </c>
      <c r="I20" s="13" t="s">
        <v>548</v>
      </c>
      <c r="J20" s="29" t="n">
        <v>0</v>
      </c>
      <c r="K20" s="13" t="s">
        <v>556</v>
      </c>
      <c r="L20" s="13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10"/>
    <col collapsed="false" customWidth="true" hidden="false" outlineLevel="0" max="5" min="5" style="0" width="35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30"/>
  </cols>
  <sheetData>
    <row r="1" customFormat="false" ht="36" hidden="false" customHeight="true" outlineLevel="0" collapsed="false">
      <c r="A1" s="8" t="s">
        <v>557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9.5" hidden="false" customHeight="true" outlineLevel="0" collapsed="false">
      <c r="A2" s="9" t="s">
        <v>20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6" hidden="false" customHeight="true" outlineLevel="0" collapsed="false">
      <c r="A4" s="10" t="s">
        <v>558</v>
      </c>
      <c r="B4" s="10" t="s">
        <v>559</v>
      </c>
      <c r="C4" s="10" t="s">
        <v>560</v>
      </c>
      <c r="D4" s="10" t="s">
        <v>24</v>
      </c>
      <c r="E4" s="10" t="s">
        <v>561</v>
      </c>
      <c r="F4" s="10" t="s">
        <v>562</v>
      </c>
      <c r="G4" s="10" t="s">
        <v>563</v>
      </c>
      <c r="H4" s="10" t="s">
        <v>564</v>
      </c>
      <c r="I4" s="10" t="s">
        <v>565</v>
      </c>
      <c r="J4" s="10" t="s">
        <v>30</v>
      </c>
    </row>
    <row r="5" customFormat="false" ht="24" hidden="false" customHeight="true" outlineLevel="0" collapsed="false">
      <c r="A5" s="11" t="s">
        <v>566</v>
      </c>
      <c r="B5" s="11"/>
      <c r="C5" s="11"/>
      <c r="D5" s="11"/>
      <c r="E5" s="11"/>
      <c r="F5" s="11"/>
      <c r="G5" s="11"/>
      <c r="H5" s="11"/>
      <c r="I5" s="11"/>
      <c r="J5" s="11"/>
    </row>
    <row r="6" customFormat="false" ht="42" hidden="false" customHeight="true" outlineLevel="0" collapsed="false">
      <c r="A6" s="12" t="s">
        <v>32</v>
      </c>
      <c r="B6" s="13" t="s">
        <v>567</v>
      </c>
      <c r="C6" s="13" t="s">
        <v>568</v>
      </c>
      <c r="D6" s="13" t="s">
        <v>569</v>
      </c>
      <c r="E6" s="13" t="s">
        <v>570</v>
      </c>
      <c r="F6" s="13" t="s">
        <v>37</v>
      </c>
      <c r="G6" s="14" t="s">
        <v>38</v>
      </c>
      <c r="H6" s="13"/>
      <c r="I6" s="13" t="s">
        <v>571</v>
      </c>
      <c r="J6" s="13"/>
    </row>
    <row r="7" customFormat="false" ht="42" hidden="false" customHeight="true" outlineLevel="0" collapsed="false">
      <c r="A7" s="12" t="s">
        <v>40</v>
      </c>
      <c r="B7" s="15" t="s">
        <v>567</v>
      </c>
      <c r="C7" s="15" t="s">
        <v>572</v>
      </c>
      <c r="D7" s="15" t="s">
        <v>569</v>
      </c>
      <c r="E7" s="15" t="s">
        <v>573</v>
      </c>
      <c r="F7" s="15" t="s">
        <v>37</v>
      </c>
      <c r="G7" s="16" t="s">
        <v>43</v>
      </c>
      <c r="H7" s="15"/>
      <c r="I7" s="15" t="s">
        <v>574</v>
      </c>
      <c r="J7" s="15"/>
    </row>
    <row r="8" customFormat="false" ht="42" hidden="false" customHeight="true" outlineLevel="0" collapsed="false">
      <c r="A8" s="12" t="s">
        <v>45</v>
      </c>
      <c r="B8" s="13" t="s">
        <v>575</v>
      </c>
      <c r="C8" s="13" t="s">
        <v>576</v>
      </c>
      <c r="D8" s="13" t="s">
        <v>569</v>
      </c>
      <c r="E8" s="13" t="s">
        <v>577</v>
      </c>
      <c r="F8" s="13" t="s">
        <v>49</v>
      </c>
      <c r="G8" s="14" t="s">
        <v>38</v>
      </c>
      <c r="H8" s="13"/>
      <c r="I8" s="13" t="s">
        <v>578</v>
      </c>
      <c r="J8" s="13"/>
    </row>
    <row r="9" customFormat="false" ht="42" hidden="false" customHeight="true" outlineLevel="0" collapsed="false">
      <c r="A9" s="12" t="s">
        <v>51</v>
      </c>
      <c r="B9" s="15" t="s">
        <v>575</v>
      </c>
      <c r="C9" s="15" t="s">
        <v>579</v>
      </c>
      <c r="D9" s="15" t="s">
        <v>569</v>
      </c>
      <c r="E9" s="15" t="s">
        <v>580</v>
      </c>
      <c r="F9" s="15" t="s">
        <v>54</v>
      </c>
      <c r="G9" s="14" t="s">
        <v>38</v>
      </c>
      <c r="H9" s="15"/>
      <c r="I9" s="15" t="s">
        <v>581</v>
      </c>
      <c r="J9" s="15"/>
    </row>
    <row r="10" customFormat="false" ht="42" hidden="false" customHeight="true" outlineLevel="0" collapsed="false">
      <c r="A10" s="12" t="s">
        <v>56</v>
      </c>
      <c r="B10" s="13" t="s">
        <v>582</v>
      </c>
      <c r="C10" s="13" t="s">
        <v>583</v>
      </c>
      <c r="D10" s="13" t="s">
        <v>569</v>
      </c>
      <c r="E10" s="13" t="s">
        <v>584</v>
      </c>
      <c r="F10" s="13" t="s">
        <v>37</v>
      </c>
      <c r="G10" s="16" t="s">
        <v>43</v>
      </c>
      <c r="H10" s="13"/>
      <c r="I10" s="13" t="s">
        <v>585</v>
      </c>
      <c r="J10" s="13"/>
    </row>
    <row r="11" customFormat="false" ht="42" hidden="false" customHeight="true" outlineLevel="0" collapsed="false">
      <c r="A11" s="12" t="s">
        <v>61</v>
      </c>
      <c r="B11" s="15" t="s">
        <v>582</v>
      </c>
      <c r="C11" s="15" t="s">
        <v>586</v>
      </c>
      <c r="D11" s="15" t="s">
        <v>569</v>
      </c>
      <c r="E11" s="15" t="s">
        <v>587</v>
      </c>
      <c r="F11" s="15" t="s">
        <v>49</v>
      </c>
      <c r="G11" s="16" t="s">
        <v>43</v>
      </c>
      <c r="H11" s="15"/>
      <c r="I11" s="15" t="s">
        <v>588</v>
      </c>
      <c r="J11" s="15"/>
    </row>
    <row r="12" customFormat="false" ht="42" hidden="false" customHeight="true" outlineLevel="0" collapsed="false">
      <c r="A12" s="12" t="s">
        <v>65</v>
      </c>
      <c r="B12" s="13" t="s">
        <v>589</v>
      </c>
      <c r="C12" s="13" t="s">
        <v>590</v>
      </c>
      <c r="D12" s="13" t="s">
        <v>569</v>
      </c>
      <c r="E12" s="13" t="s">
        <v>591</v>
      </c>
      <c r="F12" s="13" t="s">
        <v>37</v>
      </c>
      <c r="G12" s="16" t="s">
        <v>43</v>
      </c>
      <c r="H12" s="13"/>
      <c r="I12" s="13" t="s">
        <v>571</v>
      </c>
      <c r="J12" s="13"/>
    </row>
    <row r="13" customFormat="false" ht="24" hidden="false" customHeight="true" outlineLevel="0" collapsed="false">
      <c r="A13" s="17" t="s">
        <v>592</v>
      </c>
      <c r="B13" s="17"/>
      <c r="C13" s="17"/>
      <c r="D13" s="17"/>
      <c r="E13" s="17"/>
      <c r="F13" s="17"/>
      <c r="G13" s="17"/>
      <c r="H13" s="17"/>
      <c r="I13" s="17"/>
      <c r="J13" s="17"/>
    </row>
    <row r="14" customFormat="false" ht="42" hidden="false" customHeight="true" outlineLevel="0" collapsed="false">
      <c r="A14" s="12" t="s">
        <v>70</v>
      </c>
      <c r="B14" s="13" t="s">
        <v>593</v>
      </c>
      <c r="C14" s="13" t="s">
        <v>594</v>
      </c>
      <c r="D14" s="13" t="s">
        <v>595</v>
      </c>
      <c r="E14" s="13" t="s">
        <v>596</v>
      </c>
      <c r="F14" s="13" t="s">
        <v>37</v>
      </c>
      <c r="G14" s="14" t="s">
        <v>38</v>
      </c>
      <c r="H14" s="13"/>
      <c r="I14" s="13" t="s">
        <v>574</v>
      </c>
      <c r="J14" s="13"/>
    </row>
    <row r="15" customFormat="false" ht="42" hidden="false" customHeight="true" outlineLevel="0" collapsed="false">
      <c r="A15" s="12" t="s">
        <v>75</v>
      </c>
      <c r="B15" s="15" t="s">
        <v>593</v>
      </c>
      <c r="C15" s="15" t="s">
        <v>597</v>
      </c>
      <c r="D15" s="15" t="s">
        <v>595</v>
      </c>
      <c r="E15" s="15" t="s">
        <v>598</v>
      </c>
      <c r="F15" s="15" t="s">
        <v>78</v>
      </c>
      <c r="G15" s="14" t="s">
        <v>38</v>
      </c>
      <c r="H15" s="15"/>
      <c r="I15" s="15" t="s">
        <v>599</v>
      </c>
      <c r="J15" s="15"/>
    </row>
    <row r="16" customFormat="false" ht="42" hidden="false" customHeight="true" outlineLevel="0" collapsed="false">
      <c r="A16" s="12" t="s">
        <v>80</v>
      </c>
      <c r="B16" s="13" t="s">
        <v>600</v>
      </c>
      <c r="C16" s="13" t="s">
        <v>601</v>
      </c>
      <c r="D16" s="13" t="s">
        <v>595</v>
      </c>
      <c r="E16" s="13" t="s">
        <v>602</v>
      </c>
      <c r="F16" s="13" t="s">
        <v>84</v>
      </c>
      <c r="G16" s="14" t="s">
        <v>38</v>
      </c>
      <c r="H16" s="13"/>
      <c r="I16" s="13" t="s">
        <v>603</v>
      </c>
      <c r="J16" s="13"/>
    </row>
    <row r="17" customFormat="false" ht="42" hidden="false" customHeight="true" outlineLevel="0" collapsed="false">
      <c r="A17" s="12" t="s">
        <v>86</v>
      </c>
      <c r="B17" s="15" t="s">
        <v>600</v>
      </c>
      <c r="C17" s="15" t="s">
        <v>604</v>
      </c>
      <c r="D17" s="15" t="s">
        <v>595</v>
      </c>
      <c r="E17" s="15" t="s">
        <v>605</v>
      </c>
      <c r="F17" s="15" t="s">
        <v>49</v>
      </c>
      <c r="G17" s="16" t="s">
        <v>43</v>
      </c>
      <c r="H17" s="15"/>
      <c r="I17" s="15" t="s">
        <v>571</v>
      </c>
      <c r="J17" s="15"/>
    </row>
    <row r="18" customFormat="false" ht="42" hidden="false" customHeight="true" outlineLevel="0" collapsed="false">
      <c r="A18" s="12" t="s">
        <v>89</v>
      </c>
      <c r="B18" s="13" t="s">
        <v>606</v>
      </c>
      <c r="C18" s="13" t="s">
        <v>607</v>
      </c>
      <c r="D18" s="13" t="s">
        <v>595</v>
      </c>
      <c r="E18" s="13" t="s">
        <v>608</v>
      </c>
      <c r="F18" s="13" t="s">
        <v>37</v>
      </c>
      <c r="G18" s="16" t="s">
        <v>43</v>
      </c>
      <c r="H18" s="13"/>
      <c r="I18" s="13" t="s">
        <v>609</v>
      </c>
      <c r="J18" s="13"/>
    </row>
    <row r="19" customFormat="false" ht="42" hidden="false" customHeight="true" outlineLevel="0" collapsed="false">
      <c r="A19" s="12" t="s">
        <v>94</v>
      </c>
      <c r="B19" s="15" t="s">
        <v>606</v>
      </c>
      <c r="C19" s="15" t="s">
        <v>610</v>
      </c>
      <c r="D19" s="15" t="s">
        <v>595</v>
      </c>
      <c r="E19" s="15" t="s">
        <v>611</v>
      </c>
      <c r="F19" s="15" t="s">
        <v>97</v>
      </c>
      <c r="G19" s="14" t="s">
        <v>38</v>
      </c>
      <c r="H19" s="15"/>
      <c r="I19" s="15" t="s">
        <v>571</v>
      </c>
      <c r="J19" s="15"/>
    </row>
    <row r="20" customFormat="false" ht="42" hidden="false" customHeight="true" outlineLevel="0" collapsed="false">
      <c r="A20" s="12" t="s">
        <v>98</v>
      </c>
      <c r="B20" s="13" t="s">
        <v>386</v>
      </c>
      <c r="C20" s="13" t="s">
        <v>612</v>
      </c>
      <c r="D20" s="13" t="s">
        <v>595</v>
      </c>
      <c r="E20" s="13" t="s">
        <v>613</v>
      </c>
      <c r="F20" s="13" t="s">
        <v>84</v>
      </c>
      <c r="G20" s="18" t="s">
        <v>102</v>
      </c>
      <c r="H20" s="13"/>
      <c r="I20" s="13" t="s">
        <v>614</v>
      </c>
      <c r="J20" s="13"/>
    </row>
  </sheetData>
  <mergeCells count="4">
    <mergeCell ref="A1:J1"/>
    <mergeCell ref="A2:J2"/>
    <mergeCell ref="A5:J5"/>
    <mergeCell ref="A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2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28"/>
    <col collapsed="false" customWidth="true" hidden="false" outlineLevel="0" max="10" min="9" style="0" width="18"/>
  </cols>
  <sheetData>
    <row r="1" customFormat="false" ht="36" hidden="false" customHeight="true" outlineLevel="0" collapsed="false">
      <c r="A1" s="8" t="s">
        <v>615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9.5" hidden="false" customHeight="true" outlineLevel="0" collapsed="false">
      <c r="A2" s="9" t="s">
        <v>105</v>
      </c>
      <c r="B2" s="9"/>
      <c r="C2" s="9"/>
      <c r="D2" s="9"/>
      <c r="E2" s="9"/>
      <c r="F2" s="9"/>
      <c r="G2" s="9"/>
      <c r="H2" s="9"/>
      <c r="I2" s="9"/>
      <c r="J2" s="9"/>
    </row>
    <row r="4" customFormat="false" ht="36" hidden="false" customHeight="true" outlineLevel="0" collapsed="false">
      <c r="A4" s="10" t="s">
        <v>558</v>
      </c>
      <c r="B4" s="10" t="s">
        <v>616</v>
      </c>
      <c r="C4" s="10" t="s">
        <v>617</v>
      </c>
      <c r="D4" s="10" t="s">
        <v>618</v>
      </c>
      <c r="E4" s="10" t="s">
        <v>619</v>
      </c>
      <c r="F4" s="10" t="s">
        <v>110</v>
      </c>
      <c r="G4" s="10" t="s">
        <v>620</v>
      </c>
      <c r="H4" s="10" t="s">
        <v>621</v>
      </c>
      <c r="I4" s="10" t="s">
        <v>622</v>
      </c>
      <c r="J4" s="10" t="s">
        <v>565</v>
      </c>
    </row>
    <row r="5" customFormat="false" ht="48" hidden="false" customHeight="true" outlineLevel="0" collapsed="false">
      <c r="A5" s="19" t="s">
        <v>114</v>
      </c>
      <c r="B5" s="15" t="s">
        <v>623</v>
      </c>
      <c r="C5" s="15" t="s">
        <v>624</v>
      </c>
      <c r="D5" s="15" t="s">
        <v>625</v>
      </c>
      <c r="E5" s="15" t="s">
        <v>84</v>
      </c>
      <c r="F5" s="14" t="s">
        <v>38</v>
      </c>
      <c r="G5" s="14" t="s">
        <v>38</v>
      </c>
      <c r="H5" s="15" t="s">
        <v>626</v>
      </c>
      <c r="I5" s="15" t="s">
        <v>627</v>
      </c>
      <c r="J5" s="15" t="s">
        <v>603</v>
      </c>
    </row>
    <row r="6" customFormat="false" ht="48" hidden="false" customHeight="true" outlineLevel="0" collapsed="false">
      <c r="A6" s="19" t="s">
        <v>120</v>
      </c>
      <c r="B6" s="13" t="s">
        <v>628</v>
      </c>
      <c r="C6" s="13" t="s">
        <v>629</v>
      </c>
      <c r="D6" s="13" t="s">
        <v>630</v>
      </c>
      <c r="E6" s="13" t="s">
        <v>124</v>
      </c>
      <c r="F6" s="14" t="s">
        <v>38</v>
      </c>
      <c r="G6" s="14" t="s">
        <v>38</v>
      </c>
      <c r="H6" s="13" t="s">
        <v>631</v>
      </c>
      <c r="I6" s="13" t="s">
        <v>632</v>
      </c>
      <c r="J6" s="13" t="s">
        <v>585</v>
      </c>
    </row>
    <row r="7" customFormat="false" ht="48" hidden="false" customHeight="true" outlineLevel="0" collapsed="false">
      <c r="A7" s="19" t="s">
        <v>127</v>
      </c>
      <c r="B7" s="15" t="s">
        <v>633</v>
      </c>
      <c r="C7" s="15" t="s">
        <v>634</v>
      </c>
      <c r="D7" s="15" t="s">
        <v>635</v>
      </c>
      <c r="E7" s="15" t="s">
        <v>37</v>
      </c>
      <c r="F7" s="14" t="s">
        <v>38</v>
      </c>
      <c r="G7" s="14" t="s">
        <v>38</v>
      </c>
      <c r="H7" s="15" t="s">
        <v>636</v>
      </c>
      <c r="I7" s="15" t="s">
        <v>632</v>
      </c>
      <c r="J7" s="15" t="s">
        <v>637</v>
      </c>
    </row>
    <row r="8" customFormat="false" ht="48" hidden="false" customHeight="true" outlineLevel="0" collapsed="false">
      <c r="A8" s="19" t="s">
        <v>133</v>
      </c>
      <c r="B8" s="13" t="s">
        <v>638</v>
      </c>
      <c r="C8" s="13" t="s">
        <v>639</v>
      </c>
      <c r="D8" s="13" t="s">
        <v>640</v>
      </c>
      <c r="E8" s="13" t="s">
        <v>37</v>
      </c>
      <c r="F8" s="14" t="s">
        <v>38</v>
      </c>
      <c r="G8" s="16" t="s">
        <v>43</v>
      </c>
      <c r="H8" s="13" t="s">
        <v>641</v>
      </c>
      <c r="I8" s="13" t="s">
        <v>632</v>
      </c>
      <c r="J8" s="13" t="s">
        <v>574</v>
      </c>
    </row>
    <row r="9" customFormat="false" ht="48" hidden="false" customHeight="true" outlineLevel="0" collapsed="false">
      <c r="A9" s="19" t="s">
        <v>138</v>
      </c>
      <c r="B9" s="15" t="s">
        <v>642</v>
      </c>
      <c r="C9" s="15" t="s">
        <v>643</v>
      </c>
      <c r="D9" s="15" t="s">
        <v>644</v>
      </c>
      <c r="E9" s="15" t="s">
        <v>49</v>
      </c>
      <c r="F9" s="16" t="s">
        <v>43</v>
      </c>
      <c r="G9" s="16" t="s">
        <v>43</v>
      </c>
      <c r="H9" s="15" t="s">
        <v>645</v>
      </c>
      <c r="I9" s="15" t="s">
        <v>632</v>
      </c>
      <c r="J9" s="15" t="s">
        <v>609</v>
      </c>
    </row>
    <row r="10" customFormat="false" ht="48" hidden="false" customHeight="true" outlineLevel="0" collapsed="false">
      <c r="A10" s="19" t="s">
        <v>143</v>
      </c>
      <c r="B10" s="13" t="s">
        <v>646</v>
      </c>
      <c r="C10" s="13" t="s">
        <v>647</v>
      </c>
      <c r="D10" s="13" t="s">
        <v>648</v>
      </c>
      <c r="E10" s="13" t="s">
        <v>78</v>
      </c>
      <c r="F10" s="16" t="s">
        <v>43</v>
      </c>
      <c r="G10" s="16" t="s">
        <v>43</v>
      </c>
      <c r="H10" s="13" t="s">
        <v>649</v>
      </c>
      <c r="I10" s="13" t="s">
        <v>632</v>
      </c>
      <c r="J10" s="13" t="s">
        <v>571</v>
      </c>
    </row>
    <row r="11" customFormat="false" ht="48" hidden="false" customHeight="true" outlineLevel="0" collapsed="false">
      <c r="A11" s="19" t="s">
        <v>148</v>
      </c>
      <c r="B11" s="15" t="s">
        <v>650</v>
      </c>
      <c r="C11" s="15" t="s">
        <v>651</v>
      </c>
      <c r="D11" s="15" t="s">
        <v>652</v>
      </c>
      <c r="E11" s="15" t="s">
        <v>97</v>
      </c>
      <c r="F11" s="18" t="s">
        <v>102</v>
      </c>
      <c r="G11" s="14" t="s">
        <v>38</v>
      </c>
      <c r="H11" s="15" t="s">
        <v>653</v>
      </c>
      <c r="I11" s="15" t="s">
        <v>632</v>
      </c>
      <c r="J11" s="15" t="s">
        <v>581</v>
      </c>
    </row>
    <row r="12" customFormat="false" ht="48" hidden="false" customHeight="true" outlineLevel="0" collapsed="false">
      <c r="A12" s="19" t="s">
        <v>153</v>
      </c>
      <c r="B12" s="13" t="s">
        <v>654</v>
      </c>
      <c r="C12" s="13" t="s">
        <v>655</v>
      </c>
      <c r="D12" s="13" t="s">
        <v>656</v>
      </c>
      <c r="E12" s="13" t="s">
        <v>124</v>
      </c>
      <c r="F12" s="16" t="s">
        <v>43</v>
      </c>
      <c r="G12" s="16" t="s">
        <v>43</v>
      </c>
      <c r="H12" s="13" t="s">
        <v>657</v>
      </c>
      <c r="I12" s="13" t="s">
        <v>632</v>
      </c>
      <c r="J12" s="13" t="s">
        <v>658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9" min="7" style="0" width="10"/>
    <col collapsed="false" customWidth="true" hidden="false" outlineLevel="0" max="10" min="10" style="0" width="35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3" min="13" style="0" width="14"/>
  </cols>
  <sheetData>
    <row r="1" customFormat="false" ht="36" hidden="false" customHeight="true" outlineLevel="0" collapsed="false">
      <c r="A1" s="8" t="s">
        <v>659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19.5" hidden="false" customHeight="true" outlineLevel="0" collapsed="false">
      <c r="A2" s="9" t="s">
        <v>160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8" hidden="false" customHeight="true" outlineLevel="0" collapsed="false">
      <c r="A3" s="20" t="s">
        <v>660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customFormat="false" ht="42" hidden="false" customHeight="true" outlineLevel="0" collapsed="false">
      <c r="A4" s="10" t="s">
        <v>558</v>
      </c>
      <c r="B4" s="10" t="s">
        <v>559</v>
      </c>
      <c r="C4" s="10" t="s">
        <v>661</v>
      </c>
      <c r="D4" s="10" t="s">
        <v>163</v>
      </c>
      <c r="E4" s="10" t="s">
        <v>562</v>
      </c>
      <c r="F4" s="10" t="s">
        <v>662</v>
      </c>
      <c r="G4" s="10" t="s">
        <v>165</v>
      </c>
      <c r="H4" s="10" t="s">
        <v>663</v>
      </c>
      <c r="I4" s="10" t="s">
        <v>664</v>
      </c>
      <c r="J4" s="10" t="s">
        <v>665</v>
      </c>
      <c r="K4" s="10" t="s">
        <v>565</v>
      </c>
      <c r="L4" s="10" t="s">
        <v>666</v>
      </c>
      <c r="M4" s="10" t="s">
        <v>667</v>
      </c>
    </row>
    <row r="5" customFormat="false" ht="42" hidden="false" customHeight="true" outlineLevel="0" collapsed="false">
      <c r="A5" s="14" t="s">
        <v>171</v>
      </c>
      <c r="B5" s="15" t="s">
        <v>668</v>
      </c>
      <c r="C5" s="15" t="s">
        <v>669</v>
      </c>
      <c r="D5" s="14" t="s">
        <v>174</v>
      </c>
      <c r="E5" s="15" t="s">
        <v>84</v>
      </c>
      <c r="F5" s="21" t="n">
        <v>3</v>
      </c>
      <c r="G5" s="21" t="n">
        <v>4</v>
      </c>
      <c r="H5" s="22" t="n">
        <f aca="false">F5*G5</f>
        <v>12</v>
      </c>
      <c r="I5" s="23" t="str">
        <f aca="false">IF(F5*G5&gt;=16,"ÉLEVÉ",IF(F5*G5&gt;=9,"MOYEN","FAIBLE"))</f>
        <v>MOYEN</v>
      </c>
      <c r="J5" s="15" t="s">
        <v>670</v>
      </c>
      <c r="K5" s="15" t="s">
        <v>574</v>
      </c>
      <c r="L5" s="15" t="s">
        <v>671</v>
      </c>
      <c r="M5" s="15"/>
    </row>
    <row r="6" customFormat="false" ht="42" hidden="false" customHeight="true" outlineLevel="0" collapsed="false">
      <c r="A6" s="14" t="s">
        <v>177</v>
      </c>
      <c r="B6" s="13" t="s">
        <v>668</v>
      </c>
      <c r="C6" s="13" t="s">
        <v>672</v>
      </c>
      <c r="D6" s="14" t="s">
        <v>174</v>
      </c>
      <c r="E6" s="13" t="s">
        <v>84</v>
      </c>
      <c r="F6" s="24" t="n">
        <v>3</v>
      </c>
      <c r="G6" s="24" t="n">
        <v>4</v>
      </c>
      <c r="H6" s="25" t="n">
        <f aca="false">F6*G6</f>
        <v>12</v>
      </c>
      <c r="I6" s="26" t="str">
        <f aca="false">IF(F6*G6&gt;=16,"ÉLEVÉ",IF(F6*G6&gt;=9,"MOYEN","FAIBLE"))</f>
        <v>MOYEN</v>
      </c>
      <c r="J6" s="13" t="s">
        <v>673</v>
      </c>
      <c r="K6" s="13" t="s">
        <v>609</v>
      </c>
      <c r="L6" s="13" t="s">
        <v>671</v>
      </c>
      <c r="M6" s="13"/>
    </row>
    <row r="7" customFormat="false" ht="42" hidden="false" customHeight="true" outlineLevel="0" collapsed="false">
      <c r="A7" s="14" t="s">
        <v>180</v>
      </c>
      <c r="B7" s="15" t="s">
        <v>650</v>
      </c>
      <c r="C7" s="15" t="s">
        <v>674</v>
      </c>
      <c r="D7" s="14" t="s">
        <v>174</v>
      </c>
      <c r="E7" s="15" t="s">
        <v>97</v>
      </c>
      <c r="F7" s="21" t="n">
        <v>2</v>
      </c>
      <c r="G7" s="21" t="n">
        <v>5</v>
      </c>
      <c r="H7" s="22" t="n">
        <f aca="false">F7*G7</f>
        <v>10</v>
      </c>
      <c r="I7" s="23" t="str">
        <f aca="false">IF(F7*G7&gt;=16,"ÉLEVÉ",IF(F7*G7&gt;=9,"MOYEN","FAIBLE"))</f>
        <v>MOYEN</v>
      </c>
      <c r="J7" s="15" t="s">
        <v>675</v>
      </c>
      <c r="K7" s="15" t="s">
        <v>581</v>
      </c>
      <c r="L7" s="15" t="s">
        <v>676</v>
      </c>
      <c r="M7" s="15"/>
    </row>
    <row r="8" customFormat="false" ht="42" hidden="false" customHeight="true" outlineLevel="0" collapsed="false">
      <c r="A8" s="14" t="s">
        <v>184</v>
      </c>
      <c r="B8" s="13" t="s">
        <v>650</v>
      </c>
      <c r="C8" s="13" t="s">
        <v>677</v>
      </c>
      <c r="D8" s="14" t="s">
        <v>174</v>
      </c>
      <c r="E8" s="13" t="s">
        <v>97</v>
      </c>
      <c r="F8" s="24" t="n">
        <v>2</v>
      </c>
      <c r="G8" s="24" t="n">
        <v>4</v>
      </c>
      <c r="H8" s="25" t="n">
        <f aca="false">F8*G8</f>
        <v>8</v>
      </c>
      <c r="I8" s="26" t="str">
        <f aca="false">IF(F8*G8&gt;=16,"ÉLEVÉ",IF(F8*G8&gt;=9,"MOYEN","FAIBLE"))</f>
        <v>FAIBLE</v>
      </c>
      <c r="J8" s="13" t="s">
        <v>678</v>
      </c>
      <c r="K8" s="13" t="s">
        <v>581</v>
      </c>
      <c r="L8" s="13" t="s">
        <v>679</v>
      </c>
      <c r="M8" s="13"/>
    </row>
    <row r="9" customFormat="false" ht="42" hidden="false" customHeight="true" outlineLevel="0" collapsed="false">
      <c r="A9" s="14" t="s">
        <v>188</v>
      </c>
      <c r="B9" s="15" t="s">
        <v>680</v>
      </c>
      <c r="C9" s="15" t="s">
        <v>681</v>
      </c>
      <c r="D9" s="14" t="s">
        <v>174</v>
      </c>
      <c r="E9" s="15" t="s">
        <v>54</v>
      </c>
      <c r="F9" s="21" t="n">
        <v>3</v>
      </c>
      <c r="G9" s="21" t="n">
        <v>5</v>
      </c>
      <c r="H9" s="22" t="n">
        <f aca="false">F9*G9</f>
        <v>15</v>
      </c>
      <c r="I9" s="23" t="str">
        <f aca="false">IF(F9*G9&gt;=16,"ÉLEVÉ",IF(F9*G9&gt;=9,"MOYEN","FAIBLE"))</f>
        <v>MOYEN</v>
      </c>
      <c r="J9" s="15" t="s">
        <v>682</v>
      </c>
      <c r="K9" s="15" t="s">
        <v>581</v>
      </c>
      <c r="L9" s="15" t="s">
        <v>676</v>
      </c>
      <c r="M9" s="15"/>
    </row>
    <row r="10" customFormat="false" ht="42" hidden="false" customHeight="true" outlineLevel="0" collapsed="false">
      <c r="A10" s="14" t="s">
        <v>192</v>
      </c>
      <c r="B10" s="13" t="s">
        <v>680</v>
      </c>
      <c r="C10" s="13" t="s">
        <v>683</v>
      </c>
      <c r="D10" s="14" t="s">
        <v>174</v>
      </c>
      <c r="E10" s="13" t="s">
        <v>54</v>
      </c>
      <c r="F10" s="24" t="n">
        <v>3</v>
      </c>
      <c r="G10" s="24" t="n">
        <v>3</v>
      </c>
      <c r="H10" s="25" t="n">
        <f aca="false">F10*G10</f>
        <v>9</v>
      </c>
      <c r="I10" s="26" t="str">
        <f aca="false">IF(F10*G10&gt;=16,"ÉLEVÉ",IF(F10*G10&gt;=9,"MOYEN","FAIBLE"))</f>
        <v>MOYEN</v>
      </c>
      <c r="J10" s="13" t="s">
        <v>684</v>
      </c>
      <c r="K10" s="13" t="s">
        <v>585</v>
      </c>
      <c r="L10" s="13" t="s">
        <v>671</v>
      </c>
      <c r="M10" s="13"/>
    </row>
    <row r="11" customFormat="false" ht="42" hidden="false" customHeight="true" outlineLevel="0" collapsed="false">
      <c r="A11" s="14" t="s">
        <v>195</v>
      </c>
      <c r="B11" s="15" t="s">
        <v>685</v>
      </c>
      <c r="C11" s="15" t="s">
        <v>686</v>
      </c>
      <c r="D11" s="14" t="s">
        <v>174</v>
      </c>
      <c r="E11" s="15" t="s">
        <v>49</v>
      </c>
      <c r="F11" s="21" t="n">
        <v>4</v>
      </c>
      <c r="G11" s="21" t="n">
        <v>4</v>
      </c>
      <c r="H11" s="22" t="n">
        <f aca="false">F11*G11</f>
        <v>16</v>
      </c>
      <c r="I11" s="23" t="str">
        <f aca="false">IF(F11*G11&gt;=16,"ÉLEVÉ",IF(F11*G11&gt;=9,"MOYEN","FAIBLE"))</f>
        <v>ÉLEVÉ</v>
      </c>
      <c r="J11" s="15" t="s">
        <v>687</v>
      </c>
      <c r="K11" s="15" t="s">
        <v>574</v>
      </c>
      <c r="L11" s="15" t="s">
        <v>688</v>
      </c>
      <c r="M11" s="15"/>
    </row>
    <row r="12" customFormat="false" ht="42" hidden="false" customHeight="true" outlineLevel="0" collapsed="false">
      <c r="A12" s="14" t="s">
        <v>200</v>
      </c>
      <c r="B12" s="13" t="s">
        <v>689</v>
      </c>
      <c r="C12" s="13" t="s">
        <v>690</v>
      </c>
      <c r="D12" s="14" t="s">
        <v>174</v>
      </c>
      <c r="E12" s="13" t="s">
        <v>124</v>
      </c>
      <c r="F12" s="24" t="n">
        <v>3</v>
      </c>
      <c r="G12" s="24" t="n">
        <v>4</v>
      </c>
      <c r="H12" s="25" t="n">
        <f aca="false">F12*G12</f>
        <v>12</v>
      </c>
      <c r="I12" s="26" t="str">
        <f aca="false">IF(F12*G12&gt;=16,"ÉLEVÉ",IF(F12*G12&gt;=9,"MOYEN","FAIBLE"))</f>
        <v>MOYEN</v>
      </c>
      <c r="J12" s="13" t="s">
        <v>691</v>
      </c>
      <c r="K12" s="13" t="s">
        <v>585</v>
      </c>
      <c r="L12" s="13" t="s">
        <v>671</v>
      </c>
      <c r="M12" s="13"/>
    </row>
    <row r="13" customFormat="false" ht="42" hidden="false" customHeight="true" outlineLevel="0" collapsed="false">
      <c r="A13" s="18" t="s">
        <v>204</v>
      </c>
      <c r="B13" s="15" t="s">
        <v>668</v>
      </c>
      <c r="C13" s="15" t="s">
        <v>692</v>
      </c>
      <c r="D13" s="18" t="s">
        <v>206</v>
      </c>
      <c r="E13" s="15" t="s">
        <v>84</v>
      </c>
      <c r="F13" s="21" t="n">
        <v>4</v>
      </c>
      <c r="G13" s="21" t="n">
        <v>4</v>
      </c>
      <c r="H13" s="22" t="n">
        <f aca="false">F13*G13</f>
        <v>16</v>
      </c>
      <c r="I13" s="23" t="str">
        <f aca="false">IF(F13*G13&gt;=16,"ÉLEVÉ",IF(F13*G13&gt;=9,"MOYEN","FAIBLE"))</f>
        <v>ÉLEVÉ</v>
      </c>
      <c r="J13" s="15" t="s">
        <v>693</v>
      </c>
      <c r="K13" s="15" t="s">
        <v>603</v>
      </c>
      <c r="L13" s="15" t="s">
        <v>688</v>
      </c>
      <c r="M13" s="15"/>
    </row>
    <row r="14" customFormat="false" ht="42" hidden="false" customHeight="true" outlineLevel="0" collapsed="false">
      <c r="A14" s="18" t="s">
        <v>208</v>
      </c>
      <c r="B14" s="13" t="s">
        <v>650</v>
      </c>
      <c r="C14" s="13" t="s">
        <v>694</v>
      </c>
      <c r="D14" s="18" t="s">
        <v>206</v>
      </c>
      <c r="E14" s="13" t="s">
        <v>97</v>
      </c>
      <c r="F14" s="24" t="n">
        <v>4</v>
      </c>
      <c r="G14" s="24" t="n">
        <v>4</v>
      </c>
      <c r="H14" s="25" t="n">
        <f aca="false">F14*G14</f>
        <v>16</v>
      </c>
      <c r="I14" s="26" t="str">
        <f aca="false">IF(F14*G14&gt;=16,"ÉLEVÉ",IF(F14*G14&gt;=9,"MOYEN","FAIBLE"))</f>
        <v>ÉLEVÉ</v>
      </c>
      <c r="J14" s="13" t="s">
        <v>695</v>
      </c>
      <c r="K14" s="13" t="s">
        <v>571</v>
      </c>
      <c r="L14" s="13" t="s">
        <v>696</v>
      </c>
      <c r="M14" s="13"/>
    </row>
    <row r="15" customFormat="false" ht="42" hidden="false" customHeight="true" outlineLevel="0" collapsed="false">
      <c r="A15" s="18" t="s">
        <v>212</v>
      </c>
      <c r="B15" s="15" t="s">
        <v>680</v>
      </c>
      <c r="C15" s="15" t="s">
        <v>697</v>
      </c>
      <c r="D15" s="18" t="s">
        <v>206</v>
      </c>
      <c r="E15" s="15" t="s">
        <v>54</v>
      </c>
      <c r="F15" s="21" t="n">
        <v>4</v>
      </c>
      <c r="G15" s="21" t="n">
        <v>3</v>
      </c>
      <c r="H15" s="22" t="n">
        <f aca="false">F15*G15</f>
        <v>12</v>
      </c>
      <c r="I15" s="23" t="str">
        <f aca="false">IF(F15*G15&gt;=16,"ÉLEVÉ",IF(F15*G15&gt;=9,"MOYEN","FAIBLE"))</f>
        <v>MOYEN</v>
      </c>
      <c r="J15" s="15" t="s">
        <v>698</v>
      </c>
      <c r="K15" s="15" t="s">
        <v>699</v>
      </c>
      <c r="L15" s="15" t="s">
        <v>696</v>
      </c>
      <c r="M15" s="15"/>
    </row>
    <row r="16" customFormat="false" ht="42" hidden="false" customHeight="true" outlineLevel="0" collapsed="false">
      <c r="A16" s="18" t="s">
        <v>216</v>
      </c>
      <c r="B16" s="13" t="s">
        <v>217</v>
      </c>
      <c r="C16" s="13" t="s">
        <v>700</v>
      </c>
      <c r="D16" s="18" t="s">
        <v>206</v>
      </c>
      <c r="E16" s="13" t="s">
        <v>49</v>
      </c>
      <c r="F16" s="24" t="n">
        <v>5</v>
      </c>
      <c r="G16" s="24" t="n">
        <v>3</v>
      </c>
      <c r="H16" s="25" t="n">
        <f aca="false">F16*G16</f>
        <v>15</v>
      </c>
      <c r="I16" s="26" t="str">
        <f aca="false">IF(F16*G16&gt;=16,"ÉLEVÉ",IF(F16*G16&gt;=9,"MOYEN","FAIBLE"))</f>
        <v>MOYEN</v>
      </c>
      <c r="J16" s="13" t="s">
        <v>701</v>
      </c>
      <c r="K16" s="13" t="s">
        <v>574</v>
      </c>
      <c r="L16" s="13" t="s">
        <v>676</v>
      </c>
      <c r="M16" s="13"/>
    </row>
  </sheetData>
  <mergeCells count="3">
    <mergeCell ref="A1:M1"/>
    <mergeCell ref="A2:M2"/>
    <mergeCell ref="A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30"/>
    <col collapsed="false" customWidth="true" hidden="false" outlineLevel="0" max="12" min="12" style="0" width="14"/>
  </cols>
  <sheetData>
    <row r="1" customFormat="false" ht="36" hidden="false" customHeight="true" outlineLevel="0" collapsed="false">
      <c r="A1" s="8" t="s">
        <v>702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19.5" hidden="false" customHeight="true" outlineLevel="0" collapsed="false">
      <c r="A2" s="9" t="s">
        <v>221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customFormat="false" ht="42" hidden="false" customHeight="true" outlineLevel="0" collapsed="false">
      <c r="A4" s="10" t="s">
        <v>558</v>
      </c>
      <c r="B4" s="10" t="s">
        <v>703</v>
      </c>
      <c r="C4" s="10" t="s">
        <v>704</v>
      </c>
      <c r="D4" s="10" t="s">
        <v>705</v>
      </c>
      <c r="E4" s="10" t="s">
        <v>706</v>
      </c>
      <c r="F4" s="10" t="s">
        <v>707</v>
      </c>
      <c r="G4" s="10" t="s">
        <v>565</v>
      </c>
      <c r="H4" s="10" t="s">
        <v>708</v>
      </c>
      <c r="I4" s="10" t="s">
        <v>709</v>
      </c>
      <c r="J4" s="10" t="s">
        <v>710</v>
      </c>
      <c r="K4" s="10" t="s">
        <v>711</v>
      </c>
      <c r="L4" s="10" t="s">
        <v>712</v>
      </c>
    </row>
    <row r="5" customFormat="false" ht="48" hidden="false" customHeight="true" outlineLevel="0" collapsed="false">
      <c r="A5" s="27" t="s">
        <v>114</v>
      </c>
      <c r="B5" s="15" t="s">
        <v>232</v>
      </c>
      <c r="C5" s="15" t="s">
        <v>713</v>
      </c>
      <c r="D5" s="15" t="s">
        <v>37</v>
      </c>
      <c r="E5" s="15" t="s">
        <v>714</v>
      </c>
      <c r="F5" s="15" t="s">
        <v>715</v>
      </c>
      <c r="G5" s="15" t="s">
        <v>574</v>
      </c>
      <c r="H5" s="15" t="s">
        <v>236</v>
      </c>
      <c r="I5" s="15" t="s">
        <v>716</v>
      </c>
      <c r="J5" s="28" t="n">
        <v>0</v>
      </c>
      <c r="K5" s="15" t="s">
        <v>717</v>
      </c>
      <c r="L5" s="15"/>
    </row>
    <row r="6" customFormat="false" ht="48" hidden="false" customHeight="true" outlineLevel="0" collapsed="false">
      <c r="A6" s="27" t="s">
        <v>120</v>
      </c>
      <c r="B6" s="13" t="s">
        <v>239</v>
      </c>
      <c r="C6" s="13" t="s">
        <v>718</v>
      </c>
      <c r="D6" s="13" t="s">
        <v>37</v>
      </c>
      <c r="E6" s="13" t="s">
        <v>719</v>
      </c>
      <c r="F6" s="13" t="s">
        <v>720</v>
      </c>
      <c r="G6" s="13" t="s">
        <v>637</v>
      </c>
      <c r="H6" s="13" t="s">
        <v>236</v>
      </c>
      <c r="I6" s="13" t="s">
        <v>243</v>
      </c>
      <c r="J6" s="29" t="n">
        <v>0</v>
      </c>
      <c r="K6" s="13" t="s">
        <v>721</v>
      </c>
      <c r="L6" s="13"/>
    </row>
    <row r="7" customFormat="false" ht="48" hidden="false" customHeight="true" outlineLevel="0" collapsed="false">
      <c r="A7" s="27" t="s">
        <v>127</v>
      </c>
      <c r="B7" s="15" t="s">
        <v>245</v>
      </c>
      <c r="C7" s="15" t="s">
        <v>722</v>
      </c>
      <c r="D7" s="15" t="s">
        <v>37</v>
      </c>
      <c r="E7" s="15" t="s">
        <v>723</v>
      </c>
      <c r="F7" s="15" t="s">
        <v>724</v>
      </c>
      <c r="G7" s="15" t="s">
        <v>574</v>
      </c>
      <c r="H7" s="15" t="s">
        <v>716</v>
      </c>
      <c r="I7" s="15" t="s">
        <v>243</v>
      </c>
      <c r="J7" s="28" t="n">
        <v>0</v>
      </c>
      <c r="K7" s="15" t="s">
        <v>725</v>
      </c>
      <c r="L7" s="15"/>
    </row>
    <row r="8" customFormat="false" ht="48" hidden="false" customHeight="true" outlineLevel="0" collapsed="false">
      <c r="A8" s="27" t="s">
        <v>133</v>
      </c>
      <c r="B8" s="13" t="s">
        <v>250</v>
      </c>
      <c r="C8" s="13" t="s">
        <v>726</v>
      </c>
      <c r="D8" s="13" t="s">
        <v>37</v>
      </c>
      <c r="E8" s="13" t="s">
        <v>727</v>
      </c>
      <c r="F8" s="13" t="s">
        <v>728</v>
      </c>
      <c r="G8" s="13" t="s">
        <v>574</v>
      </c>
      <c r="H8" s="13" t="s">
        <v>236</v>
      </c>
      <c r="I8" s="13" t="s">
        <v>716</v>
      </c>
      <c r="J8" s="29" t="n">
        <v>0</v>
      </c>
      <c r="K8" s="13" t="s">
        <v>729</v>
      </c>
      <c r="L8" s="13"/>
    </row>
    <row r="9" customFormat="false" ht="48" hidden="false" customHeight="true" outlineLevel="0" collapsed="false">
      <c r="A9" s="27" t="s">
        <v>138</v>
      </c>
      <c r="B9" s="15" t="s">
        <v>255</v>
      </c>
      <c r="C9" s="15" t="s">
        <v>730</v>
      </c>
      <c r="D9" s="15" t="s">
        <v>37</v>
      </c>
      <c r="E9" s="15" t="s">
        <v>731</v>
      </c>
      <c r="F9" s="15" t="s">
        <v>732</v>
      </c>
      <c r="G9" s="15" t="s">
        <v>571</v>
      </c>
      <c r="H9" s="15" t="s">
        <v>716</v>
      </c>
      <c r="I9" s="15" t="s">
        <v>243</v>
      </c>
      <c r="J9" s="28" t="n">
        <v>0</v>
      </c>
      <c r="K9" s="15" t="s">
        <v>733</v>
      </c>
      <c r="L9" s="15"/>
    </row>
    <row r="10" customFormat="false" ht="48" hidden="false" customHeight="true" outlineLevel="0" collapsed="false">
      <c r="A10" s="27" t="s">
        <v>143</v>
      </c>
      <c r="B10" s="13" t="s">
        <v>260</v>
      </c>
      <c r="C10" s="13" t="s">
        <v>734</v>
      </c>
      <c r="D10" s="13" t="s">
        <v>37</v>
      </c>
      <c r="E10" s="13" t="s">
        <v>735</v>
      </c>
      <c r="F10" s="13" t="s">
        <v>736</v>
      </c>
      <c r="G10" s="13" t="s">
        <v>737</v>
      </c>
      <c r="H10" s="13" t="s">
        <v>236</v>
      </c>
      <c r="I10" s="13" t="s">
        <v>738</v>
      </c>
      <c r="J10" s="29" t="n">
        <v>0</v>
      </c>
      <c r="K10" s="13" t="s">
        <v>739</v>
      </c>
      <c r="L10" s="13"/>
    </row>
    <row r="11" customFormat="false" ht="48" hidden="false" customHeight="true" outlineLevel="0" collapsed="false">
      <c r="A11" s="27" t="s">
        <v>148</v>
      </c>
      <c r="B11" s="15" t="s">
        <v>267</v>
      </c>
      <c r="C11" s="15" t="s">
        <v>740</v>
      </c>
      <c r="D11" s="15" t="s">
        <v>37</v>
      </c>
      <c r="E11" s="15" t="s">
        <v>741</v>
      </c>
      <c r="F11" s="15" t="s">
        <v>742</v>
      </c>
      <c r="G11" s="15" t="s">
        <v>585</v>
      </c>
      <c r="H11" s="15" t="s">
        <v>716</v>
      </c>
      <c r="I11" s="15" t="s">
        <v>518</v>
      </c>
      <c r="J11" s="28" t="n">
        <v>0</v>
      </c>
      <c r="K11" s="15" t="s">
        <v>743</v>
      </c>
      <c r="L11" s="15"/>
    </row>
    <row r="12" customFormat="false" ht="48" hidden="false" customHeight="true" outlineLevel="0" collapsed="false">
      <c r="A12" s="27" t="s">
        <v>153</v>
      </c>
      <c r="B12" s="13" t="s">
        <v>273</v>
      </c>
      <c r="C12" s="13" t="s">
        <v>744</v>
      </c>
      <c r="D12" s="13" t="s">
        <v>37</v>
      </c>
      <c r="E12" s="13" t="s">
        <v>745</v>
      </c>
      <c r="F12" s="13" t="s">
        <v>746</v>
      </c>
      <c r="G12" s="13" t="s">
        <v>574</v>
      </c>
      <c r="H12" s="13" t="s">
        <v>243</v>
      </c>
      <c r="I12" s="13" t="s">
        <v>738</v>
      </c>
      <c r="J12" s="29" t="n">
        <v>0</v>
      </c>
      <c r="K12" s="13" t="s">
        <v>747</v>
      </c>
      <c r="L12" s="13"/>
    </row>
    <row r="13" customFormat="false" ht="48" hidden="false" customHeight="true" outlineLevel="0" collapsed="false">
      <c r="A13" s="27" t="s">
        <v>278</v>
      </c>
      <c r="B13" s="15" t="s">
        <v>279</v>
      </c>
      <c r="C13" s="15" t="s">
        <v>748</v>
      </c>
      <c r="D13" s="15" t="s">
        <v>37</v>
      </c>
      <c r="E13" s="15" t="s">
        <v>749</v>
      </c>
      <c r="F13" s="15" t="s">
        <v>750</v>
      </c>
      <c r="G13" s="15" t="s">
        <v>574</v>
      </c>
      <c r="H13" s="15" t="s">
        <v>716</v>
      </c>
      <c r="I13" s="15" t="s">
        <v>738</v>
      </c>
      <c r="J13" s="28" t="n">
        <v>0</v>
      </c>
      <c r="K13" s="15" t="s">
        <v>751</v>
      </c>
      <c r="L13" s="15"/>
    </row>
    <row r="14" customFormat="false" ht="48" hidden="false" customHeight="true" outlineLevel="0" collapsed="false">
      <c r="A14" s="27" t="s">
        <v>284</v>
      </c>
      <c r="B14" s="13" t="s">
        <v>285</v>
      </c>
      <c r="C14" s="13" t="s">
        <v>752</v>
      </c>
      <c r="D14" s="13" t="s">
        <v>49</v>
      </c>
      <c r="E14" s="13" t="s">
        <v>753</v>
      </c>
      <c r="F14" s="13" t="s">
        <v>754</v>
      </c>
      <c r="G14" s="13" t="s">
        <v>755</v>
      </c>
      <c r="H14" s="13" t="s">
        <v>243</v>
      </c>
      <c r="I14" s="13" t="s">
        <v>289</v>
      </c>
      <c r="J14" s="29" t="n">
        <v>0</v>
      </c>
      <c r="K14" s="13" t="s">
        <v>756</v>
      </c>
      <c r="L14" s="13"/>
    </row>
    <row r="15" customFormat="false" ht="48" hidden="false" customHeight="true" outlineLevel="0" collapsed="false">
      <c r="A15" s="27" t="s">
        <v>291</v>
      </c>
      <c r="B15" s="15" t="s">
        <v>285</v>
      </c>
      <c r="C15" s="15" t="s">
        <v>757</v>
      </c>
      <c r="D15" s="15" t="s">
        <v>54</v>
      </c>
      <c r="E15" s="15" t="s">
        <v>758</v>
      </c>
      <c r="F15" s="15" t="s">
        <v>759</v>
      </c>
      <c r="G15" s="15" t="s">
        <v>581</v>
      </c>
      <c r="H15" s="15" t="s">
        <v>236</v>
      </c>
      <c r="I15" s="15" t="s">
        <v>738</v>
      </c>
      <c r="J15" s="28" t="n">
        <v>0</v>
      </c>
      <c r="K15" s="15" t="s">
        <v>760</v>
      </c>
      <c r="L15" s="15"/>
    </row>
    <row r="16" customFormat="false" ht="48" hidden="false" customHeight="true" outlineLevel="0" collapsed="false">
      <c r="A16" s="27" t="s">
        <v>296</v>
      </c>
      <c r="B16" s="13" t="s">
        <v>297</v>
      </c>
      <c r="C16" s="13" t="s">
        <v>761</v>
      </c>
      <c r="D16" s="13" t="s">
        <v>37</v>
      </c>
      <c r="E16" s="13" t="s">
        <v>762</v>
      </c>
      <c r="F16" s="13" t="s">
        <v>763</v>
      </c>
      <c r="G16" s="13" t="s">
        <v>574</v>
      </c>
      <c r="H16" s="13" t="s">
        <v>243</v>
      </c>
      <c r="I16" s="13" t="s">
        <v>518</v>
      </c>
      <c r="J16" s="29" t="n">
        <v>0</v>
      </c>
      <c r="K16" s="13" t="s">
        <v>764</v>
      </c>
      <c r="L16" s="13"/>
    </row>
    <row r="17" customFormat="false" ht="48" hidden="false" customHeight="true" outlineLevel="0" collapsed="false">
      <c r="A17" s="27" t="s">
        <v>302</v>
      </c>
      <c r="B17" s="15" t="s">
        <v>303</v>
      </c>
      <c r="C17" s="15" t="s">
        <v>765</v>
      </c>
      <c r="D17" s="15" t="s">
        <v>37</v>
      </c>
      <c r="E17" s="15" t="s">
        <v>766</v>
      </c>
      <c r="F17" s="15" t="s">
        <v>767</v>
      </c>
      <c r="G17" s="15" t="s">
        <v>768</v>
      </c>
      <c r="H17" s="15" t="s">
        <v>738</v>
      </c>
      <c r="I17" s="15" t="s">
        <v>308</v>
      </c>
      <c r="J17" s="28" t="n">
        <v>0</v>
      </c>
      <c r="K17" s="15" t="s">
        <v>769</v>
      </c>
      <c r="L17" s="15"/>
    </row>
    <row r="18" customFormat="false" ht="48" hidden="false" customHeight="true" outlineLevel="0" collapsed="false">
      <c r="A18" s="27" t="s">
        <v>310</v>
      </c>
      <c r="B18" s="13" t="s">
        <v>311</v>
      </c>
      <c r="C18" s="13" t="s">
        <v>770</v>
      </c>
      <c r="D18" s="13" t="s">
        <v>37</v>
      </c>
      <c r="E18" s="13" t="s">
        <v>771</v>
      </c>
      <c r="F18" s="13" t="s">
        <v>772</v>
      </c>
      <c r="G18" s="13" t="s">
        <v>637</v>
      </c>
      <c r="H18" s="13" t="s">
        <v>315</v>
      </c>
      <c r="I18" s="13" t="s">
        <v>773</v>
      </c>
      <c r="J18" s="29" t="n">
        <v>0</v>
      </c>
      <c r="K18" s="13" t="s">
        <v>774</v>
      </c>
      <c r="L18" s="13"/>
    </row>
    <row r="19" customFormat="false" ht="48" hidden="false" customHeight="true" outlineLevel="0" collapsed="false">
      <c r="A19" s="27" t="s">
        <v>317</v>
      </c>
      <c r="B19" s="15" t="s">
        <v>318</v>
      </c>
      <c r="C19" s="15" t="s">
        <v>775</v>
      </c>
      <c r="D19" s="15" t="s">
        <v>37</v>
      </c>
      <c r="E19" s="15" t="s">
        <v>776</v>
      </c>
      <c r="F19" s="15" t="s">
        <v>777</v>
      </c>
      <c r="G19" s="15" t="s">
        <v>574</v>
      </c>
      <c r="H19" s="15" t="s">
        <v>243</v>
      </c>
      <c r="I19" s="15" t="s">
        <v>518</v>
      </c>
      <c r="J19" s="28" t="n">
        <v>0</v>
      </c>
      <c r="K19" s="15" t="s">
        <v>778</v>
      </c>
      <c r="L19" s="15"/>
    </row>
    <row r="20" customFormat="false" ht="48" hidden="false" customHeight="true" outlineLevel="0" collapsed="false">
      <c r="A20" s="27" t="s">
        <v>323</v>
      </c>
      <c r="B20" s="13" t="s">
        <v>324</v>
      </c>
      <c r="C20" s="13" t="s">
        <v>779</v>
      </c>
      <c r="D20" s="13" t="s">
        <v>37</v>
      </c>
      <c r="E20" s="13" t="s">
        <v>780</v>
      </c>
      <c r="F20" s="13" t="s">
        <v>781</v>
      </c>
      <c r="G20" s="13" t="s">
        <v>571</v>
      </c>
      <c r="H20" s="13" t="s">
        <v>679</v>
      </c>
      <c r="I20" s="13" t="s">
        <v>773</v>
      </c>
      <c r="J20" s="29" t="n">
        <v>0</v>
      </c>
      <c r="K20" s="13" t="s">
        <v>782</v>
      </c>
      <c r="L20" s="13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2026-05-07T13:32:45Z</dcterms:created>
  <dc:creator>openpyxl</dc:creator>
  <dc:description/>
  <dc:language>en-US</dc:language>
  <cp:lastModifiedBy/>
  <dcterms:modified xsi:type="dcterms:W3CDTF">2026-05-07T13:32:45Z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